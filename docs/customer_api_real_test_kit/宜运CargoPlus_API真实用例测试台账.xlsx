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f8b8f6580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a78382d45d2492e"/>
    <x:sheet xmlns:r="http://schemas.openxmlformats.org/officeDocument/2006/relationships" name="测试Checklist" sheetId="2" r:id="R40a4c4483ed34152"/>
    <x:sheet xmlns:r="http://schemas.openxmlformats.org/officeDocument/2006/relationships" name="环境与版本" sheetId="3" r:id="R25fe389c360f4049"/>
    <x:sheet xmlns:r="http://schemas.openxmlformats.org/officeDocument/2006/relationships" name="案例台账" sheetId="4" r:id="R325b0daccfd34bbe"/>
    <x:sheet xmlns:r="http://schemas.openxmlformats.org/officeDocument/2006/relationships" name="字段差异" sheetId="5" r:id="Rfb0c2b4adc0340db"/>
    <x:sheet xmlns:r="http://schemas.openxmlformats.org/officeDocument/2006/relationships" name="执行日志" sheetId="6" r:id="Rb263c9c0f7d0435f"/>
    <x:sheet xmlns:r="http://schemas.openxmlformats.org/officeDocument/2006/relationships" name="高精度AB" sheetId="7" r:id="R10f502e8685d46c9"/>
    <x:sheet xmlns:r="http://schemas.openxmlformats.org/officeDocument/2006/relationships" name="问题清单" sheetId="8" r:id="R24c1eb28b808454e"/>
    <x:sheet xmlns:r="http://schemas.openxmlformats.org/officeDocument/2006/relationships" name="口径确认" sheetId="9" r:id="R281edce0a6414922"/>
    <x:sheet xmlns:r="http://schemas.openxmlformats.org/officeDocument/2006/relationships" name="统计看板" sheetId="10" r:id="R74beecee4ba2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yyyy-mm-dd"/>
    <x:numFmt numFmtId="202" formatCode="yyyy-mm-dd hh:mm"/>
    <x:numFmt numFmtId="203" formatCode="#,##0"/>
    <x:numFmt numFmtId="204" formatCode="0.00"/>
    <x:numFmt numFmtId="205" formatCode="yyyy-mm-dd hh:mm:ss"/>
    <x:numFmt numFmtId="206" formatCode="0"/>
  </x:numFmts>
  <x:fonts count="10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7365D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b/>
      <x:sz val="10"/>
      <x:color rgb="FF7F6000"/>
      <x:name val="Microsoft YaHei"/>
    </x:font>
    <x:font>
      <x:b/>
      <x:sz val="10"/>
      <x:color rgb="FF9C0006"/>
      <x:name val="Microsoft YaHei"/>
    </x:font>
    <x:font>
      <x:b/>
      <x:sz val="10"/>
      <x:color rgb="FF17365D"/>
      <x:name val="Microsoft YaHei"/>
    </x:font>
    <x:font>
      <x:b/>
      <x:sz val="12"/>
      <x:color rgb="FFFFFFFF"/>
      <x:name val="Microsoft YaHei"/>
    </x:font>
    <x:font>
      <x:b/>
      <x:sz val="14"/>
      <x:color rgb="FF7F60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20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205" fontId="4" fillId="0" borderId="2" xfId="0" applyNumberFormat="1" applyFont="1" applyFill="1" applyBorder="1" applyAlignment="1">
      <x:alignment vertical="top" wrapText="1"/>
    </x:xf>
    <x:xf numFmtId="205" fontId="4" fillId="0" borderId="3" xfId="0" applyNumberFormat="1" applyFont="1" applyFill="1" applyBorder="1" applyAlignment="1">
      <x:alignment vertical="top" wrapText="1"/>
    </x:xf>
    <x:xf numFmtId="206" fontId="4" fillId="0" borderId="2" xfId="0" applyNumberFormat="1" applyFont="1" applyFill="1" applyBorder="1" applyAlignment="1">
      <x:alignment vertical="top" wrapText="1"/>
    </x:xf>
    <x:xf numFmtId="206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4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fa0ca37944a26" /><Relationship Type="http://schemas.openxmlformats.org/officeDocument/2006/relationships/theme" Target="/xl/theme/theme1.xml" Id="Rad9823585dd148d6" /><Relationship Type="http://schemas.openxmlformats.org/officeDocument/2006/relationships/sharedStrings" Target="/xl/sharedStrings.xml" Id="Ra01d4ad09b6c473f" /><Relationship Type="http://schemas.openxmlformats.org/officeDocument/2006/relationships/worksheet" Target="/xl/worksheets/sheet1.xml" Id="R1a78382d45d2492e" /><Relationship Type="http://schemas.openxmlformats.org/officeDocument/2006/relationships/worksheet" Target="/xl/worksheets/sheet2.xml" Id="R40a4c4483ed34152" /><Relationship Type="http://schemas.openxmlformats.org/officeDocument/2006/relationships/worksheet" Target="/xl/worksheets/sheet3.xml" Id="R25fe389c360f4049" /><Relationship Type="http://schemas.openxmlformats.org/officeDocument/2006/relationships/worksheet" Target="/xl/worksheets/sheet4.xml" Id="R325b0daccfd34bbe" /><Relationship Type="http://schemas.openxmlformats.org/officeDocument/2006/relationships/worksheet" Target="/xl/worksheets/sheet5.xml" Id="Rfb0c2b4adc0340db" /><Relationship Type="http://schemas.openxmlformats.org/officeDocument/2006/relationships/worksheet" Target="/xl/worksheets/sheet6.xml" Id="Rb263c9c0f7d0435f" /><Relationship Type="http://schemas.openxmlformats.org/officeDocument/2006/relationships/worksheet" Target="/xl/worksheets/sheet7.xml" Id="R10f502e8685d46c9" /><Relationship Type="http://schemas.openxmlformats.org/officeDocument/2006/relationships/worksheet" Target="/xl/worksheets/sheet8.xml" Id="R24c1eb28b808454e" /><Relationship Type="http://schemas.openxmlformats.org/officeDocument/2006/relationships/worksheet" Target="/xl/worksheets/sheet9.xml" Id="R281edce0a6414922" /><Relationship Type="http://schemas.openxmlformats.org/officeDocument/2006/relationships/worksheet" Target="/xl/worksheets/sheet10.xml" Id="R74beecee4ba24d9d" /></Relationships>
</file>

<file path=xl/tables/table1.xml><?xml version="1.0" encoding="utf-8"?>
<x:table xmlns:x="http://schemas.openxmlformats.org/spreadsheetml/2006/main" id="1" name="TestChecklistTable" displayName="TestChecklistTable" ref="A10:M64" headerRowCount="1" totalsRowCount="0" totalsRowShown="0">
  <x:tableColumns count="13">
    <x:tableColumn id="1" name="编号"/>
    <x:tableColumn id="2" name="测试阶段"/>
    <x:tableColumn id="3" name="检查项"/>
    <x:tableColumn id="4" name="通过标准"/>
    <x:tableColumn id="5" name="是否必需"/>
    <x:tableColumn id="6" name="负责人"/>
    <x:tableColumn id="7" name="计划完成日期"/>
    <x:tableColumn id="8" name="当前状态"/>
    <x:tableColumn id="9" name="证据或记录位置"/>
    <x:tableColumn id="10" name="关联问题编号"/>
    <x:tableColumn id="11" name="确认人"/>
    <x:tableColumn id="12" name="确认时间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RegisterTable" displayName="CaseRegisterTable" ref="A3:AB53" headerRowCount="1" totalsRowCount="0" totalsRowShown="0">
  <x:tableColumns count="28">
    <x:tableColumn id="1" name="案例编号"/>
    <x:tableColumn id="2" name="文件名/文件组合"/>
    <x:tableColumn id="3" name="文件类型"/>
    <x:tableColumn id="4" name="业务类型"/>
    <x:tableColumn id="5" name="文件特征"/>
    <x:tableColumn id="6" name="含敏感信息"/>
    <x:tableColumn id="7" name="业务审核人"/>
    <x:tableColumn id="8" name="计划模式"/>
    <x:tableColumn id="9" name="金标状态"/>
    <x:tableColumn id="10" name="Standard Task ID"/>
    <x:tableColumn id="11" name="Standard状态"/>
    <x:tableColumn id="12" name="Standard耗时ms"/>
    <x:tableColumn id="13" name="Standard视觉页数"/>
    <x:tableColumn id="14" name="Standard扣费"/>
    <x:tableColumn id="15" name="Standard结果路径"/>
    <x:tableColumn id="16" name="High Task ID"/>
    <x:tableColumn id="17" name="High状态"/>
    <x:tableColumn id="18" name="High耗时ms"/>
    <x:tableColumn id="19" name="High视觉页数"/>
    <x:tableColumn id="20" name="High扣费"/>
    <x:tableColumn id="21" name="High结果路径"/>
    <x:tableColumn id="22" name="业务结论"/>
    <x:tableColumn id="23" name="问题等级"/>
    <x:tableColumn id="24" name="主要归因"/>
    <x:tableColumn id="25" name="已提交反馈"/>
    <x:tableColumn id="26" name="反馈ID"/>
    <x:tableColumn id="27" name="复测Task ID"/>
    <x:tableColumn id="2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ffTable" displayName="FieldDiffTable" ref="A3:N503" headerRowCount="1" totalsRowCount="0" totalsRowShown="0">
  <x:tableColumns count="14">
    <x:tableColumn id="1" name="案例编号"/>
    <x:tableColumn id="2" name="模式"/>
    <x:tableColumn id="3" name="字段路径"/>
    <x:tableColumn id="4" name="人工标准值"/>
    <x:tableColumn id="5" name="模型实际值"/>
    <x:tableColumn id="6" name="精确结果"/>
    <x:tableColumn id="7" name="业务判断"/>
    <x:tableColumn id="8" name="错误归因"/>
    <x:tableColumn id="9" name="问题等级"/>
    <x:tableColumn id="10" name="原文证据"/>
    <x:tableColumn id="11" name="审核人"/>
    <x:tableColumn id="12" name="确认状态"/>
    <x:tableColumn id="13" name="问题ID"/>
    <x:tableColumn id="14" name="差异类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cutionLogTable" displayName="ExecutionLogTable" ref="A3:S303" headerRowCount="1" totalsRowCount="0" totalsRowShown="0">
  <x:tableColumns count="19">
    <x:tableColumn id="1" name="提交时间"/>
    <x:tableColumn id="2" name="案例编号"/>
    <x:tableColumn id="3" name="模式"/>
    <x:tableColumn id="4" name="次数"/>
    <x:tableColumn id="5" name="幂等键"/>
    <x:tableColumn id="6" name="Task ID"/>
    <x:tableColumn id="7" name="文件名"/>
    <x:tableColumn id="8" name="提交HTTP"/>
    <x:tableColumn id="9" name="最终状态"/>
    <x:tableColumn id="10" name="总耗时ms"/>
    <x:tableColumn id="11" name="视觉总页数"/>
    <x:tableColumn id="12" name="视觉处理页数"/>
    <x:tableColumn id="13" name="视觉耗时ms"/>
    <x:tableColumn id="14" name="扣费"/>
    <x:tableColumn id="15" name="错误信息"/>
    <x:tableColumn id="16" name="结果路径"/>
    <x:tableColumn id="17" name="操作人"/>
    <x:tableColumn id="18" name="Standard耗时辅助"/>
    <x:tableColumn id="19" name="High耗时辅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uracyABTable" displayName="AccuracyABTable" ref="A3:K15" headerRowCount="1" totalsRowCount="0" totalsRowShown="0">
  <x:tableColumns count="11">
    <x:tableColumn id="1" name="案例编号"/>
    <x:tableColumn id="2" name="适用字段数"/>
    <x:tableColumn id="3" name="Standard正确数"/>
    <x:tableColumn id="4" name="High正确数"/>
    <x:tableColumn id="5" name="Standard准确率"/>
    <x:tableColumn id="6" name="High准确率"/>
    <x:tableColumn id="7" name="准确率提升"/>
    <x:tableColumn id="8" name="Standard耗时ms"/>
    <x:tableColumn id="9" name="High耗时ms"/>
    <x:tableColumn id="10" name="额外耗时ms"/>
    <x:tableColumn id="11" name="业务结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sueListTable" displayName="IssueListTable" ref="A3:N153" headerRowCount="1" totalsRowCount="0" totalsRowShown="0">
  <x:tableColumns count="14">
    <x:tableColumn id="1" name="问题ID"/>
    <x:tableColumn id="2" name="案例编号"/>
    <x:tableColumn id="3" name="字段"/>
    <x:tableColumn id="4" name="错误归因"/>
    <x:tableColumn id="5" name="问题等级"/>
    <x:tableColumn id="6" name="现象"/>
    <x:tableColumn id="7" name="原文证据"/>
    <x:tableColumn id="8" name="预期结果"/>
    <x:tableColumn id="9" name="实际结果"/>
    <x:tableColumn id="10" name="状态"/>
    <x:tableColumn id="11" name="负责人"/>
    <x:tableColumn id="12" name="计划完成日"/>
    <x:tableColumn id="13" name="复测Task ID"/>
    <x:tableColumn id="14" name="结论/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3c9506df8445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492da1e7bc44d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2c01cf8ae074b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c213aed08b646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abc711435024a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751cdfd435448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48" hidden="0" customWidth="1"/>
    <x:col min="5" max="5" width="23" hidden="0" customWidth="1"/>
    <x:col min="6" max="6" width="27" hidden="0" customWidth="1"/>
  </x:cols>
  <x:sheetData>
    <x:row r="1" ht="32" customHeight="1">
      <x:c r="A1" s="4" t="str">
        <x:v>宜运 CargoPlus API 真实用例测试台账</x:v>
      </x:c>
      <x:c r="B1" s="4" t="str">
        <x:v>宜运 CargoPlus API 真实用例测试台账</x:v>
      </x:c>
      <x:c r="C1" s="4" t="str">
        <x:v>宜运 CargoPlus API 真实用例测试台账</x:v>
      </x:c>
      <x:c r="D1" s="4" t="str">
        <x:v>宜运 CargoPlus API 真实用例测试台账</x:v>
      </x:c>
      <x:c r="E1" s="4" t="str">
        <x:v>宜运 CargoPlus API 真实用例测试台账</x:v>
      </x:c>
      <x:c r="F1" s="4" t="str">
        <x:v>宜运 CargoPlus API 真实用例测试台账</x:v>
      </x:c>
    </x:row>
    <x:row r="2">
      <x:c r="A2" s="7" t="str">
        <x:v>测试周期：2026-09-07 至 2026-09-11 ｜ 建议规模：30～50个真实业务案例</x:v>
      </x:c>
      <x:c r="B2" s="7"/>
      <x:c r="C2" s="7"/>
      <x:c r="D2" s="7"/>
      <x:c r="E2" s="7"/>
      <x:c r="F2" s="7"/>
    </x:row>
    <x:row r="4" ht="30" customHeight="1">
      <x:c r="A4" s="13" t="str">
        <x:v>阶段</x:v>
      </x:c>
      <x:c r="B4" s="13" t="str">
        <x:v>日期</x:v>
      </x:c>
      <x:c r="C4" s="13" t="str">
        <x:v>负责人</x:v>
      </x:c>
      <x:c r="D4" s="13" t="str">
        <x:v>具体操作</x:v>
      </x:c>
      <x:c r="E4" s="13" t="str">
        <x:v>输出</x:v>
      </x:c>
      <x:c r="F4" s="13" t="str">
        <x:v>完成条件</x:v>
      </x:c>
    </x:row>
    <x:row r="5">
      <x:c r="A5" s="19" t="str">
        <x:v>测试准备</x:v>
      </x:c>
      <x:c r="B5" s="19" t="str">
        <x:v>9月4日前</x:v>
      </x:c>
      <x:c r="C5" s="19" t="str">
        <x:v>双方</x:v>
      </x:c>
      <x:c r="D5" s="19" t="str">
        <x:v>确认受控网络、API Key、余额、案例清单、完整金标和冻结版本</x:v>
      </x:c>
      <x:c r="E5" s="19" t="str">
        <x:v>环境确认表</x:v>
      </x:c>
      <x:c r="F5" s="19" t="str">
        <x:v>所有必填项完成</x:v>
      </x:c>
    </x:row>
    <x:row r="6">
      <x:c r="A6" s="20" t="str">
        <x:v>冒烟测试</x:v>
      </x:c>
      <x:c r="B6" s="20" t="str">
        <x:v>9月7日</x:v>
      </x:c>
      <x:c r="C6" s="20" t="str">
        <x:v>API对接人</x:v>
      </x:c>
      <x:c r="D6" s="20" t="str">
        <x:v>运行5个代表案例；单并发开始，稳定后升至2并发</x:v>
      </x:c>
      <x:c r="E6" s="20" t="str">
        <x:v>冒烟记录</x:v>
      </x:c>
      <x:c r="F6" s="20" t="str">
        <x:v>上传、轮询、结果和错误均可用</x:v>
      </x:c>
    </x:row>
    <x:row r="7">
      <x:c r="A7" s="20" t="str">
        <x:v>第一批基线</x:v>
      </x:c>
      <x:c r="B7" s="20" t="str">
        <x:v>9月8日</x:v>
      </x:c>
      <x:c r="C7" s="20" t="str">
        <x:v>API对接人</x:v>
      </x:c>
      <x:c r="D7" s="20" t="str">
        <x:v>运行约一半案例；每批5个；并发不超过3</x:v>
      </x:c>
      <x:c r="E7" s="20" t="str">
        <x:v>第一批结果</x:v>
      </x:c>
      <x:c r="F7" s="20" t="str">
        <x:v>所有任务有明确终态</x:v>
      </x:c>
    </x:row>
    <x:row r="8">
      <x:c r="A8" s="20" t="str">
        <x:v>第二批基线</x:v>
      </x:c>
      <x:c r="B8" s="20" t="str">
        <x:v>9月9日</x:v>
      </x:c>
      <x:c r="C8" s="20" t="str">
        <x:v>双方</x:v>
      </x:c>
      <x:c r="D8" s="20" t="str">
        <x:v>完成剩余案例；人工核对差异；确认关键字段和业务口径</x:v>
      </x:c>
      <x:c r="E8" s="20" t="str">
        <x:v>基线报告</x:v>
      </x:c>
      <x:c r="F8" s="20" t="str">
        <x:v>争议项有负责人</x:v>
      </x:c>
    </x:row>
    <x:row r="9">
      <x:c r="A9" s="20" t="str">
        <x:v>专项复测</x:v>
      </x:c>
      <x:c r="B9" s="20" t="str">
        <x:v>9月10日</x:v>
      </x:c>
      <x:c r="C9" s="20" t="str">
        <x:v>双方</x:v>
      </x:c>
      <x:c r="D9" s="20" t="str">
        <x:v>失败案例最多复测一次；8～12个复杂案例做双模式对比</x:v>
      </x:c>
      <x:c r="E9" s="20" t="str">
        <x:v>复测与归因</x:v>
      </x:c>
      <x:c r="F9" s="20" t="str">
        <x:v>每个问题有分类</x:v>
      </x:c>
    </x:row>
    <x:row r="10">
      <x:c r="A10" s="20" t="str">
        <x:v>冻结回归</x:v>
      </x:c>
      <x:c r="B10" s="20" t="str">
        <x:v>9月11日</x:v>
      </x:c>
      <x:c r="C10" s="20" t="str">
        <x:v>双方</x:v>
      </x:c>
      <x:c r="D10" s="20" t="str">
        <x:v>固定版本回归并汇总准确率、稳定性、时效和优化建议</x:v>
      </x:c>
      <x:c r="E10" s="20" t="str">
        <x:v>最终报告</x:v>
      </x:c>
      <x:c r="F10" s="20" t="str">
        <x:v>形成下一轮门槛</x:v>
      </x:c>
    </x:row>
    <x:row r="13">
      <x:c r="A13" s="23" t="str">
        <x:v>标准操作：1）在环境与版本页登记冻结信息；2）在案例台账登记样本；3）运行脚本并填写执行日志；4）在字段差异页进行精确和业务核对；5）业务确认后再提交纠错反馈。</x:v>
      </x:c>
      <x:c r="B13" s="23"/>
      <x:c r="C13" s="23"/>
      <x:c r="D13" s="23"/>
      <x:c r="E13" s="23"/>
      <x:c r="F13" s="23"/>
    </x:row>
    <x:row r="14">
      <x:c r="A14" s="26" t="str">
        <x:v>安全要求：当前 HTTP 地址只能在双方确认的受控网络中使用；若请求经过不受控公共网络，立即停止上传未脱敏文件。API Key 不得写入本工作簿。</x:v>
      </x:c>
      <x:c r="B14" s="26"/>
      <x:c r="C14" s="26"/>
      <x:c r="D14" s="26"/>
      <x:c r="E14" s="26"/>
      <x:c r="F14" s="26"/>
    </x:row>
  </x:sheetData>
  <x:mergeCells>
    <x:mergeCell ref="A1:F1"/>
    <x:mergeCell ref="A2:F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58" hidden="0" customWidth="1"/>
    <x:col min="5" max="5" width="12" hidden="0" customWidth="1"/>
    <x:col min="6" max="6" width="20" hidden="0" customWidth="1"/>
    <x:col min="7" max="7" width="16" hidden="0" customWidth="1"/>
    <x:col min="8" max="8" width="14" hidden="0" customWidth="1"/>
    <x:col min="9" max="9" width="28" hidden="0" customWidth="1"/>
    <x:col min="10" max="10" width="18" hidden="0" customWidth="1"/>
    <x:col min="11" max="11" width="15" hidden="0" customWidth="1"/>
    <x:col min="12" max="12" width="20" hidden="0" customWidth="1"/>
    <x:col min="13" max="13" width="32" hidden="0" customWidth="1"/>
  </x:cols>
  <x:sheetData>
    <x:row r="1" ht="32" customHeight="1">
      <x:c r="A1" s="4" t="str">
        <x:v>宜运 CargoPlus API 测试 Checklist</x:v>
      </x:c>
      <x:c r="B1" s="4" t="str">
        <x:v>宜运 CargoPlus API 测试 Checklist</x:v>
      </x:c>
      <x:c r="C1" s="4" t="str">
        <x:v>宜运 CargoPlus API 测试 Checklist</x:v>
      </x:c>
      <x:c r="D1" s="4" t="str">
        <x:v>宜运 CargoPlus API 测试 Checklist</x:v>
      </x:c>
      <x:c r="E1" s="4" t="str">
        <x:v>宜运 CargoPlus API 测试 Checklist</x:v>
      </x:c>
      <x:c r="F1" s="4" t="str">
        <x:v>宜运 CargoPlus API 测试 Checklist</x:v>
      </x:c>
      <x:c r="G1" s="4" t="str">
        <x:v>宜运 CargoPlus API 测试 Checklist</x:v>
      </x:c>
      <x:c r="H1" s="4" t="str">
        <x:v>宜运 CargoPlus API 测试 Checklist</x:v>
      </x:c>
      <x:c r="I1" s="4" t="str">
        <x:v>宜运 CargoPlus API 测试 Checklist</x:v>
      </x:c>
      <x:c r="J1" s="4" t="str">
        <x:v>宜运 CargoPlus API 测试 Checklist</x:v>
      </x:c>
      <x:c r="K1" s="4" t="str">
        <x:v>宜运 CargoPlus API 测试 Checklist</x:v>
      </x:c>
      <x:c r="L1" s="4" t="str">
        <x:v>宜运 CargoPlus API 测试 Checklist</x:v>
      </x:c>
      <x:c r="M1" s="4" t="str">
        <x:v>宜运 CargoPlus API 测试 Checklist</x:v>
      </x:c>
    </x:row>
    <x:row r="3">
      <x:c r="A3" s="32" t="str">
        <x:v>必需项总数</x:v>
      </x:c>
      <x:c r="B3" s="34" t="n">
        <x:f>COUNTIF(E11:E64,"是")</x:f>
        <x:v>54</x:v>
      </x:c>
      <x:c r="C3" s="32" t="str">
        <x:v>已通过/不适用</x:v>
      </x:c>
      <x:c r="D3" s="32" t="n">
        <x:f>COUNTIFS(E11:E64,"是",H11:H64,"已通过")+COUNTIFS(E11:E64,"是",H11:H64,"不适用")</x:f>
        <x:v>0</x:v>
      </x:c>
      <x:c r="E3" s="32" t="str">
        <x:v>不通过</x:v>
      </x:c>
      <x:c r="F3" s="32" t="n">
        <x:f>COUNTIFS(E11:E64,"是",H11:H64,"不通过")</x:f>
        <x:v>0</x:v>
      </x:c>
      <x:c r="G3" s="32" t="str">
        <x:v>未完成</x:v>
      </x:c>
      <x:c r="H3" s="32" t="n">
        <x:f>B3-D3-F3</x:f>
        <x:v>54</x:v>
      </x:c>
      <x:c r="I3" s="32" t="str">
        <x:v>总体完成率</x:v>
      </x:c>
      <x:c r="J3" s="35" t="n">
        <x:f>IFERROR(D3/B3,0)</x:f>
        <x:v>0</x:v>
      </x:c>
      <x:c r="K3" s="32" t="str">
        <x:v>未关闭P0</x:v>
      </x:c>
      <x:c r="L3" s="32" t="n">
        <x:f>COUNTIFS('问题清单'!E4:E153,"P0",'问题清单'!J4:J153,"&lt;&gt;已关闭",'问题清单'!J4:J153,"&lt;&gt;复测通过")</x:f>
        <x:v>0</x:v>
      </x:c>
    </x:row>
    <x:row r="5">
      <x:c r="A5" s="39" t="str">
        <x:v>总体门禁</x:v>
      </x:c>
      <x:c r="B5" s="39"/>
      <x:c r="C5" s="43" t="str">
        <x:f>IF(OR(F3&gt;0,L3&gt;0),"暂停测试",IF(H3&gt;0,"准备未完成","可以进入下一阶段"))</x:f>
        <x:v>准备未完成</x:v>
      </x:c>
      <x:c r="D5" s="43"/>
      <x:c r="E5" s="43"/>
      <x:c r="F5" s="43"/>
      <x:c r="G5" s="43"/>
      <x:c r="H5" s="43"/>
      <x:c r="I5" s="43"/>
      <x:c r="J5" s="43"/>
      <x:c r="K5" s="43"/>
      <x:c r="L5" s="43"/>
      <x:c r="M5" s="43"/>
    </x:row>
    <x:row r="6">
      <x:c r="A6" s="39"/>
      <x:c r="B6" s="39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</x:row>
    <x:row r="8">
      <x:c r="A8" s="45" t="str">
        <x:v>使用方法：逐项选择当前状态，并在“证据或记录位置”填写对应工作表、结果文件或会议记录。必需项全部通过或经确认不适用，且没有未关闭P0问题后，方可进入下一阶段。</x:v>
      </x:c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</x:row>
    <x:row r="10" ht="30" customHeight="1">
      <x:c r="A10" s="13" t="str">
        <x:v>编号</x:v>
      </x:c>
      <x:c r="B10" s="13" t="str">
        <x:v>测试阶段</x:v>
      </x:c>
      <x:c r="C10" s="13" t="str">
        <x:v>检查项</x:v>
      </x:c>
      <x:c r="D10" s="13" t="str">
        <x:v>通过标准</x:v>
      </x:c>
      <x:c r="E10" s="13" t="str">
        <x:v>是否必需</x:v>
      </x:c>
      <x:c r="F10" s="13" t="str">
        <x:v>负责人</x:v>
      </x:c>
      <x:c r="G10" s="13" t="str">
        <x:v>计划完成日期</x:v>
      </x:c>
      <x:c r="H10" s="13" t="str">
        <x:v>当前状态</x:v>
      </x:c>
      <x:c r="I10" s="13" t="str">
        <x:v>证据或记录位置</x:v>
      </x:c>
      <x:c r="J10" s="13" t="str">
        <x:v>关联问题编号</x:v>
      </x:c>
      <x:c r="K10" s="13" t="str">
        <x:v>确认人</x:v>
      </x:c>
      <x:c r="L10" s="13" t="str">
        <x:v>确认时间</x:v>
      </x:c>
      <x:c r="M10" s="13" t="str">
        <x:v>备注</x:v>
      </x:c>
    </x:row>
    <x:row r="11">
      <x:c r="A11" s="46" t="str">
        <x:v>PRE-01</x:v>
      </x:c>
      <x:c r="B11" s="19" t="str">
        <x:v>测试准备</x:v>
      </x:c>
      <x:c r="C11" s="19" t="str">
        <x:v>确认测试访问链路</x:v>
      </x:c>
      <x:c r="D11" s="19" t="str">
        <x:v>链路属于双方认可的受控网络；否则只使用脱敏样本或改用HTTPS</x:v>
      </x:c>
      <x:c r="E11" s="19" t="str">
        <x:v>是</x:v>
      </x:c>
      <x:c r="F11" s="19" t="str">
        <x:v>双方</x:v>
      </x:c>
      <x:c r="G11" s="48" t="n">
        <x:v>46269</x:v>
      </x:c>
      <x:c r="H11" s="19" t="str">
        <x:v>未开始</x:v>
      </x:c>
      <x:c r="I11" s="19" t="str">
        <x:v>环境与版本</x:v>
      </x:c>
      <x:c r="J11" s="19" t="str"/>
      <x:c r="K11" s="19" t="str"/>
      <x:c r="L11" s="50"/>
      <x:c r="M11" s="19" t="str"/>
    </x:row>
    <x:row r="12">
      <x:c r="A12" s="47" t="str">
        <x:v>PRE-02</x:v>
      </x:c>
      <x:c r="B12" s="20" t="str">
        <x:v>测试准备</x:v>
      </x:c>
      <x:c r="C12" s="20" t="str">
        <x:v>安全保管API Key</x:v>
      </x:c>
      <x:c r="D12" s="20" t="str">
        <x:v>API Key仅保存在测试程序环境变量，不进入脚本、Excel、邮件、群聊或日志</x:v>
      </x:c>
      <x:c r="E12" s="20" t="str">
        <x:v>是</x:v>
      </x:c>
      <x:c r="F12" s="20" t="str">
        <x:v>宜运API对接人</x:v>
      </x:c>
      <x:c r="G12" s="49" t="n">
        <x:v>46269</x:v>
      </x:c>
      <x:c r="H12" s="20" t="str">
        <x:v>未开始</x:v>
      </x:c>
      <x:c r="I12" s="20" t="str">
        <x:v>环境与版本</x:v>
      </x:c>
      <x:c r="J12" s="20" t="str"/>
      <x:c r="K12" s="20" t="str"/>
      <x:c r="L12" s="51"/>
      <x:c r="M12" s="20" t="str"/>
    </x:row>
    <x:row r="13">
      <x:c r="A13" s="47" t="str">
        <x:v>PRE-03</x:v>
      </x:c>
      <x:c r="B13" s="20" t="str">
        <x:v>测试准备</x:v>
      </x:c>
      <x:c r="C13" s="20" t="str">
        <x:v>确认租户状态</x:v>
      </x:c>
      <x:c r="D13" s="20" t="str">
        <x:v>测试租户已审核并启用，鉴权请求可正常通过</x:v>
      </x:c>
      <x:c r="E13" s="20" t="str">
        <x:v>是</x:v>
      </x:c>
      <x:c r="F13" s="20" t="str">
        <x:v>我方管理员</x:v>
      </x:c>
      <x:c r="G13" s="49" t="n">
        <x:v>46269</x:v>
      </x:c>
      <x:c r="H13" s="20" t="str">
        <x:v>未开始</x:v>
      </x:c>
      <x:c r="I13" s="20" t="str">
        <x:v>环境与版本</x:v>
      </x:c>
      <x:c r="J13" s="20" t="str"/>
      <x:c r="K13" s="20" t="str"/>
      <x:c r="L13" s="51"/>
      <x:c r="M13" s="20" t="str"/>
    </x:row>
    <x:row r="14">
      <x:c r="A14" s="47" t="str">
        <x:v>PRE-04</x:v>
      </x:c>
      <x:c r="B14" s="20" t="str">
        <x:v>测试准备</x:v>
      </x:c>
      <x:c r="C14" s="20" t="str">
        <x:v>确认账户余额及并发额度</x:v>
      </x:c>
      <x:c r="D14" s="20" t="str">
        <x:v>额度覆盖基线、双模式对比和一次复测，并发额度满足本轮计划</x:v>
      </x:c>
      <x:c r="E14" s="20" t="str">
        <x:v>是</x:v>
      </x:c>
      <x:c r="F14" s="20" t="str">
        <x:v>我方管理员</x:v>
      </x:c>
      <x:c r="G14" s="49" t="n">
        <x:v>46269</x:v>
      </x:c>
      <x:c r="H14" s="20" t="str">
        <x:v>未开始</x:v>
      </x:c>
      <x:c r="I14" s="20" t="str">
        <x:v>环境与版本</x:v>
      </x:c>
      <x:c r="J14" s="20" t="str"/>
      <x:c r="K14" s="20" t="str"/>
      <x:c r="L14" s="51"/>
      <x:c r="M14" s="20" t="str"/>
    </x:row>
    <x:row r="15">
      <x:c r="A15" s="47" t="str">
        <x:v>PRE-05</x:v>
      </x:c>
      <x:c r="B15" s="20" t="str">
        <x:v>测试准备</x:v>
      </x:c>
      <x:c r="C15" s="20" t="str">
        <x:v>冻结应用版本</x:v>
      </x:c>
      <x:c r="D15" s="20" t="str">
        <x:v>已记录应用或镜像版本，首轮基线期间不变更</x:v>
      </x:c>
      <x:c r="E15" s="20" t="str">
        <x:v>是</x:v>
      </x:c>
      <x:c r="F15" s="20" t="str">
        <x:v>我方技术人员</x:v>
      </x:c>
      <x:c r="G15" s="49" t="n">
        <x:v>46269</x:v>
      </x:c>
      <x:c r="H15" s="20" t="str">
        <x:v>未开始</x:v>
      </x:c>
      <x:c r="I15" s="20" t="str">
        <x:v>环境与版本</x:v>
      </x:c>
      <x:c r="J15" s="20" t="str"/>
      <x:c r="K15" s="20" t="str"/>
      <x:c r="L15" s="51"/>
      <x:c r="M15" s="20" t="str"/>
    </x:row>
    <x:row r="16">
      <x:c r="A16" s="47" t="str">
        <x:v>PRE-06</x:v>
      </x:c>
      <x:c r="B16" s="20" t="str">
        <x:v>测试准备</x:v>
      </x:c>
      <x:c r="C16" s="20" t="str">
        <x:v>冻结生产提示词版本</x:v>
      </x:c>
      <x:c r="D16" s="20" t="str">
        <x:v>已记录当前实际生效的生产提示词版本，首轮基线期间不变更</x:v>
      </x:c>
      <x:c r="E16" s="20" t="str">
        <x:v>是</x:v>
      </x:c>
      <x:c r="F16" s="20" t="str">
        <x:v>我方技术人员</x:v>
      </x:c>
      <x:c r="G16" s="49" t="n">
        <x:v>46269</x:v>
      </x:c>
      <x:c r="H16" s="20" t="str">
        <x:v>未开始</x:v>
      </x:c>
      <x:c r="I16" s="20" t="str">
        <x:v>环境与版本</x:v>
      </x:c>
      <x:c r="J16" s="20" t="str"/>
      <x:c r="K16" s="20" t="str"/>
      <x:c r="L16" s="51"/>
      <x:c r="M16" s="20" t="str"/>
    </x:row>
    <x:row r="17">
      <x:c r="A17" s="47" t="str">
        <x:v>PRE-07</x:v>
      </x:c>
      <x:c r="B17" s="20" t="str">
        <x:v>测试准备</x:v>
      </x:c>
      <x:c r="C17" s="20" t="str">
        <x:v>记录主模型配置名称</x:v>
      </x:c>
      <x:c r="D17" s="20" t="str">
        <x:v>仅记录配置名称，不记录Base URL、API Key等敏感配置</x:v>
      </x:c>
      <x:c r="E17" s="20" t="str">
        <x:v>是</x:v>
      </x:c>
      <x:c r="F17" s="20" t="str">
        <x:v>我方技术人员</x:v>
      </x:c>
      <x:c r="G17" s="49" t="n">
        <x:v>46269</x:v>
      </x:c>
      <x:c r="H17" s="20" t="str">
        <x:v>未开始</x:v>
      </x:c>
      <x:c r="I17" s="20" t="str">
        <x:v>环境与版本</x:v>
      </x:c>
      <x:c r="J17" s="20" t="str"/>
      <x:c r="K17" s="20" t="str"/>
      <x:c r="L17" s="51"/>
      <x:c r="M17" s="20" t="str"/>
    </x:row>
    <x:row r="18">
      <x:c r="A18" s="47" t="str">
        <x:v>PRE-08</x:v>
      </x:c>
      <x:c r="B18" s="20" t="str">
        <x:v>测试准备</x:v>
      </x:c>
      <x:c r="C18" s="20" t="str">
        <x:v>确定双方负责人</x:v>
      </x:c>
      <x:c r="D18" s="20" t="str">
        <x:v>宜运业务审核人、宜运API对接人和我方技术支持均已明确</x:v>
      </x:c>
      <x:c r="E18" s="20" t="str">
        <x:v>是</x:v>
      </x:c>
      <x:c r="F18" s="20" t="str">
        <x:v>双方</x:v>
      </x:c>
      <x:c r="G18" s="49" t="n">
        <x:v>46269</x:v>
      </x:c>
      <x:c r="H18" s="20" t="str">
        <x:v>未开始</x:v>
      </x:c>
      <x:c r="I18" s="20" t="str">
        <x:v>环境与版本</x:v>
      </x:c>
      <x:c r="J18" s="20" t="str"/>
      <x:c r="K18" s="20" t="str"/>
      <x:c r="L18" s="51"/>
      <x:c r="M18" s="20" t="str"/>
    </x:row>
    <x:row r="19">
      <x:c r="A19" s="47" t="str">
        <x:v>GOLD-01</x:v>
      </x:c>
      <x:c r="B19" s="20" t="str">
        <x:v>案例与金标准备</x:v>
      </x:c>
      <x:c r="C19" s="20" t="str">
        <x:v>案例编号唯一</x:v>
      </x:c>
      <x:c r="D19" s="20" t="str">
        <x:v>所有案例使用唯一且固定的YY-xxx编号，无重复编号</x:v>
      </x:c>
      <x:c r="E19" s="20" t="str">
        <x:v>是</x:v>
      </x:c>
      <x:c r="F19" s="20" t="str">
        <x:v>宜运API对接人</x:v>
      </x:c>
      <x:c r="G19" s="49" t="n">
        <x:v>46269</x:v>
      </x:c>
      <x:c r="H19" s="20" t="str">
        <x:v>未开始</x:v>
      </x:c>
      <x:c r="I19" s="20" t="str">
        <x:v>案例台账</x:v>
      </x:c>
      <x:c r="J19" s="20" t="str"/>
      <x:c r="K19" s="20" t="str"/>
      <x:c r="L19" s="51"/>
      <x:c r="M19" s="20" t="str"/>
    </x:row>
    <x:row r="20">
      <x:c r="A20" s="47" t="str">
        <x:v>GOLD-02</x:v>
      </x:c>
      <x:c r="B20" s="20" t="str">
        <x:v>案例与金标准备</x:v>
      </x:c>
      <x:c r="C20" s="20" t="str">
        <x:v>原始文件完整可读</x:v>
      </x:c>
      <x:c r="D20" s="20" t="str">
        <x:v>文件可正常打开、未损坏、未加密，原文件已留存且不会被覆盖</x:v>
      </x:c>
      <x:c r="E20" s="20" t="str">
        <x:v>是</x:v>
      </x:c>
      <x:c r="F20" s="20" t="str">
        <x:v>宜运API对接人</x:v>
      </x:c>
      <x:c r="G20" s="49" t="n">
        <x:v>46269</x:v>
      </x:c>
      <x:c r="H20" s="20" t="str">
        <x:v>未开始</x:v>
      </x:c>
      <x:c r="I20" s="20" t="str">
        <x:v>案例台账</x:v>
      </x:c>
      <x:c r="J20" s="20" t="str"/>
      <x:c r="K20" s="20" t="str"/>
      <x:c r="L20" s="51"/>
      <x:c r="M20" s="20" t="str"/>
    </x:row>
    <x:row r="21">
      <x:c r="A21" s="47" t="str">
        <x:v>GOLD-03</x:v>
      </x:c>
      <x:c r="B21" s="20" t="str">
        <x:v>案例与金标准备</x:v>
      </x:c>
      <x:c r="C21" s="20" t="str">
        <x:v>符合上传限制</x:v>
      </x:c>
      <x:c r="D21" s="20" t="str">
        <x:v>单次最多10个文件；普通单文件不超过50MB；旧版DOC不超过20MB；合计不超过100MB</x:v>
      </x:c>
      <x:c r="E21" s="20" t="str">
        <x:v>是</x:v>
      </x:c>
      <x:c r="F21" s="20" t="str">
        <x:v>宜运API对接人</x:v>
      </x:c>
      <x:c r="G21" s="49" t="n">
        <x:v>46269</x:v>
      </x:c>
      <x:c r="H21" s="20" t="str">
        <x:v>未开始</x:v>
      </x:c>
      <x:c r="I21" s="20" t="str">
        <x:v>案例台账</x:v>
      </x:c>
      <x:c r="J21" s="20" t="str"/>
      <x:c r="K21" s="20" t="str"/>
      <x:c r="L21" s="51"/>
      <x:c r="M21" s="20" t="str"/>
    </x:row>
    <x:row r="22">
      <x:c r="A22" s="47" t="str">
        <x:v>GOLD-04</x:v>
      </x:c>
      <x:c r="B22" s="20" t="str">
        <x:v>案例与金标准备</x:v>
      </x:c>
      <x:c r="C22" s="20" t="str">
        <x:v>标记敏感信息</x:v>
      </x:c>
      <x:c r="D22" s="20" t="str">
        <x:v>每个案例均已明确是否包含客户、价格、联系人等敏感信息</x:v>
      </x:c>
      <x:c r="E22" s="20" t="str">
        <x:v>是</x:v>
      </x:c>
      <x:c r="F22" s="20" t="str">
        <x:v>宜运业务审核人</x:v>
      </x:c>
      <x:c r="G22" s="49" t="n">
        <x:v>46269</x:v>
      </x:c>
      <x:c r="H22" s="20" t="str">
        <x:v>未开始</x:v>
      </x:c>
      <x:c r="I22" s="20" t="str">
        <x:v>案例台账</x:v>
      </x:c>
      <x:c r="J22" s="20" t="str"/>
      <x:c r="K22" s="20" t="str"/>
      <x:c r="L22" s="51"/>
      <x:c r="M22" s="20" t="str"/>
    </x:row>
    <x:row r="23">
      <x:c r="A23" s="47" t="str">
        <x:v>GOLD-05</x:v>
      </x:c>
      <x:c r="B23" s="20" t="str">
        <x:v>案例与金标准备</x:v>
      </x:c>
      <x:c r="C23" s="20" t="str">
        <x:v>完成完整57字段金标</x:v>
      </x:c>
      <x:c r="D23" s="20" t="str">
        <x:v>每个纳入准确率统计的案例均有完整57字段人工标准答案</x:v>
      </x:c>
      <x:c r="E23" s="20" t="str">
        <x:v>是</x:v>
      </x:c>
      <x:c r="F23" s="20" t="str">
        <x:v>宜运业务审核人</x:v>
      </x:c>
      <x:c r="G23" s="49" t="n">
        <x:v>46269</x:v>
      </x:c>
      <x:c r="H23" s="20" t="str">
        <x:v>未开始</x:v>
      </x:c>
      <x:c r="I23" s="20" t="str">
        <x:v>案例台账/金标JSON</x:v>
      </x:c>
      <x:c r="J23" s="20" t="str"/>
      <x:c r="K23" s="20" t="str"/>
      <x:c r="L23" s="51"/>
      <x:c r="M23" s="20" t="str"/>
    </x:row>
    <x:row r="24">
      <x:c r="A24" s="47" t="str">
        <x:v>GOLD-06</x:v>
      </x:c>
      <x:c r="B24" s="20" t="str">
        <x:v>案例与金标准备</x:v>
      </x:c>
      <x:c r="C24" s="20" t="str">
        <x:v>业务审核金标</x:v>
      </x:c>
      <x:c r="D24" s="20" t="str">
        <x:v>人工标准答案已经宜运业务审核；有争议项已单独登记并暂停评分</x:v>
      </x:c>
      <x:c r="E24" s="20" t="str">
        <x:v>是</x:v>
      </x:c>
      <x:c r="F24" s="20" t="str">
        <x:v>宜运业务审核人</x:v>
      </x:c>
      <x:c r="G24" s="49" t="n">
        <x:v>46269</x:v>
      </x:c>
      <x:c r="H24" s="20" t="str">
        <x:v>未开始</x:v>
      </x:c>
      <x:c r="I24" s="20" t="str">
        <x:v>案例台账/口径确认</x:v>
      </x:c>
      <x:c r="J24" s="20" t="str"/>
      <x:c r="K24" s="20" t="str"/>
      <x:c r="L24" s="51"/>
      <x:c r="M24" s="20" t="str"/>
    </x:row>
    <x:row r="25">
      <x:c r="A25" s="47" t="str">
        <x:v>GOLD-07</x:v>
      </x:c>
      <x:c r="B25" s="20" t="str">
        <x:v>案例与金标准备</x:v>
      </x:c>
      <x:c r="C25" s="20" t="str">
        <x:v>选出5个冒烟案例</x:v>
      </x:c>
      <x:c r="D25" s="20" t="str">
        <x:v>覆盖主要文件类型、普通文本和至少一个复杂样本</x:v>
      </x:c>
      <x:c r="E25" s="20" t="str">
        <x:v>是</x:v>
      </x:c>
      <x:c r="F25" s="20" t="str">
        <x:v>双方</x:v>
      </x:c>
      <x:c r="G25" s="49" t="n">
        <x:v>46269</x:v>
      </x:c>
      <x:c r="H25" s="20" t="str">
        <x:v>未开始</x:v>
      </x:c>
      <x:c r="I25" s="20" t="str">
        <x:v>案例台账</x:v>
      </x:c>
      <x:c r="J25" s="20" t="str"/>
      <x:c r="K25" s="20" t="str"/>
      <x:c r="L25" s="51"/>
      <x:c r="M25" s="20" t="str"/>
    </x:row>
    <x:row r="26">
      <x:c r="A26" s="47" t="str">
        <x:v>GOLD-08</x:v>
      </x:c>
      <x:c r="B26" s="20" t="str">
        <x:v>案例与金标准备</x:v>
      </x:c>
      <x:c r="C26" s="20" t="str">
        <x:v>选出8～12个高精度对比案例</x:v>
      </x:c>
      <x:c r="D26" s="20" t="str">
        <x:v>复杂表格、扫描件、图片或Word内嵌截图等代表样本已选定</x:v>
      </x:c>
      <x:c r="E26" s="20" t="str">
        <x:v>是</x:v>
      </x:c>
      <x:c r="F26" s="20" t="str">
        <x:v>双方</x:v>
      </x:c>
      <x:c r="G26" s="49" t="n">
        <x:v>46269</x:v>
      </x:c>
      <x:c r="H26" s="20" t="str">
        <x:v>未开始</x:v>
      </x:c>
      <x:c r="I26" s="20" t="str">
        <x:v>案例台账</x:v>
      </x:c>
      <x:c r="J26" s="20" t="str"/>
      <x:c r="K26" s="20" t="str"/>
      <x:c r="L26" s="51"/>
      <x:c r="M26" s="20" t="str"/>
    </x:row>
    <x:row r="27">
      <x:c r="A27" s="47" t="str">
        <x:v>SMK-01</x:v>
      </x:c>
      <x:c r="B27" s="20" t="str">
        <x:v>冒烟测试</x:v>
      </x:c>
      <x:c r="C27" s="20" t="str">
        <x:v>服务健康检查通过</x:v>
      </x:c>
      <x:c r="D27" s="20" t="str">
        <x:v>健康接口返回ready，关键依赖状态正常</x:v>
      </x:c>
      <x:c r="E27" s="20" t="str">
        <x:v>是</x:v>
      </x:c>
      <x:c r="F27" s="20" t="str">
        <x:v>我方技术支持</x:v>
      </x:c>
      <x:c r="G27" s="49" t="n">
        <x:v>46272</x:v>
      </x:c>
      <x:c r="H27" s="20" t="str">
        <x:v>未开始</x:v>
      </x:c>
      <x:c r="I27" s="20" t="str">
        <x:v>执行日志</x:v>
      </x:c>
      <x:c r="J27" s="20" t="str"/>
      <x:c r="K27" s="20" t="str"/>
      <x:c r="L27" s="51"/>
      <x:c r="M27" s="20" t="str"/>
    </x:row>
    <x:row r="28">
      <x:c r="A28" s="47" t="str">
        <x:v>SMK-02</x:v>
      </x:c>
      <x:c r="B28" s="20" t="str">
        <x:v>冒烟测试</x:v>
      </x:c>
      <x:c r="C28" s="20" t="str">
        <x:v>API鉴权通过</x:v>
      </x:c>
      <x:c r="D28" s="20" t="str">
        <x:v>使用测试租户API Key提交请求，不出现401或403</x:v>
      </x:c>
      <x:c r="E28" s="20" t="str">
        <x:v>是</x:v>
      </x:c>
      <x:c r="F28" s="20" t="str">
        <x:v>宜运API对接人</x:v>
      </x:c>
      <x:c r="G28" s="49" t="n">
        <x:v>46272</x:v>
      </x:c>
      <x:c r="H28" s="20" t="str">
        <x:v>未开始</x:v>
      </x:c>
      <x:c r="I28" s="20" t="str">
        <x:v>执行日志</x:v>
      </x:c>
      <x:c r="J28" s="20" t="str"/>
      <x:c r="K28" s="20" t="str"/>
      <x:c r="L28" s="51"/>
      <x:c r="M28" s="20" t="str"/>
    </x:row>
    <x:row r="29">
      <x:c r="A29" s="47" t="str">
        <x:v>SMK-03</x:v>
      </x:c>
      <x:c r="B29" s="20" t="str">
        <x:v>冒烟测试</x:v>
      </x:c>
      <x:c r="C29" s="20" t="str">
        <x:v>文件上传成功</x:v>
      </x:c>
      <x:c r="D29" s="20" t="str">
        <x:v>接口接受文件并返回有效task_id</x:v>
      </x:c>
      <x:c r="E29" s="20" t="str">
        <x:v>是</x:v>
      </x:c>
      <x:c r="F29" s="20" t="str">
        <x:v>宜运API对接人</x:v>
      </x:c>
      <x:c r="G29" s="49" t="n">
        <x:v>46272</x:v>
      </x:c>
      <x:c r="H29" s="20" t="str">
        <x:v>未开始</x:v>
      </x:c>
      <x:c r="I29" s="20" t="str">
        <x:v>执行日志</x:v>
      </x:c>
      <x:c r="J29" s="20" t="str"/>
      <x:c r="K29" s="20" t="str"/>
      <x:c r="L29" s="51"/>
      <x:c r="M29" s="20" t="str"/>
    </x:row>
    <x:row r="30">
      <x:c r="A30" s="47" t="str">
        <x:v>SMK-04</x:v>
      </x:c>
      <x:c r="B30" s="20" t="str">
        <x:v>冒烟测试</x:v>
      </x:c>
      <x:c r="C30" s="20" t="str">
        <x:v>任务轮询成功</x:v>
      </x:c>
      <x:c r="D30" s="20" t="str">
        <x:v>每3秒查询原task_id并最终取得SUCCESS或FAILED明确终态</x:v>
      </x:c>
      <x:c r="E30" s="20" t="str">
        <x:v>是</x:v>
      </x:c>
      <x:c r="F30" s="20" t="str">
        <x:v>宜运API对接人</x:v>
      </x:c>
      <x:c r="G30" s="49" t="n">
        <x:v>46272</x:v>
      </x:c>
      <x:c r="H30" s="20" t="str">
        <x:v>未开始</x:v>
      </x:c>
      <x:c r="I30" s="20" t="str">
        <x:v>执行日志</x:v>
      </x:c>
      <x:c r="J30" s="20" t="str"/>
      <x:c r="K30" s="20" t="str"/>
      <x:c r="L30" s="51"/>
      <x:c r="M30" s="20" t="str"/>
    </x:row>
    <x:row r="31">
      <x:c r="A31" s="47" t="str">
        <x:v>SMK-05</x:v>
      </x:c>
      <x:c r="B31" s="20" t="str">
        <x:v>冒烟测试</x:v>
      </x:c>
      <x:c r="C31" s="20" t="str">
        <x:v>成功结果可读取</x:v>
      </x:c>
      <x:c r="D31" s="20" t="str">
        <x:v>SUCCESS任务已保存result_json、duration_ms、识别模式和扣费信息</x:v>
      </x:c>
      <x:c r="E31" s="20" t="str">
        <x:v>是</x:v>
      </x:c>
      <x:c r="F31" s="20" t="str">
        <x:v>宜运API对接人</x:v>
      </x:c>
      <x:c r="G31" s="49" t="n">
        <x:v>46272</x:v>
      </x:c>
      <x:c r="H31" s="20" t="str">
        <x:v>未开始</x:v>
      </x:c>
      <x:c r="I31" s="20" t="str">
        <x:v>执行日志/结果目录</x:v>
      </x:c>
      <x:c r="J31" s="20" t="str"/>
      <x:c r="K31" s="20" t="str"/>
      <x:c r="L31" s="51"/>
      <x:c r="M31" s="20" t="str"/>
    </x:row>
    <x:row r="32">
      <x:c r="A32" s="47" t="str">
        <x:v>SMK-06</x:v>
      </x:c>
      <x:c r="B32" s="20" t="str">
        <x:v>冒烟测试</x:v>
      </x:c>
      <x:c r="C32" s="20" t="str">
        <x:v>失败信息可追踪</x:v>
      </x:c>
      <x:c r="D32" s="20" t="str">
        <x:v>FAILED或超时任务保存完整error_message，不使用空JSON计分</x:v>
      </x:c>
      <x:c r="E32" s="20" t="str">
        <x:v>是</x:v>
      </x:c>
      <x:c r="F32" s="20" t="str">
        <x:v>双方</x:v>
      </x:c>
      <x:c r="G32" s="49" t="n">
        <x:v>46272</x:v>
      </x:c>
      <x:c r="H32" s="20" t="str">
        <x:v>未开始</x:v>
      </x:c>
      <x:c r="I32" s="20" t="str">
        <x:v>执行日志/问题清单</x:v>
      </x:c>
      <x:c r="J32" s="20" t="str"/>
      <x:c r="K32" s="20" t="str"/>
      <x:c r="L32" s="51"/>
      <x:c r="M32" s="20" t="str"/>
    </x:row>
    <x:row r="33">
      <x:c r="A33" s="47" t="str">
        <x:v>SMK-07</x:v>
      </x:c>
      <x:c r="B33" s="20" t="str">
        <x:v>冒烟测试</x:v>
      </x:c>
      <x:c r="C33" s="20" t="str">
        <x:v>空提取结果识别正确</x:v>
      </x:c>
      <x:c r="D33" s="20" t="str">
        <x:v>仅默认GoodsType=S时标记为模型返回空提取结果，不计为正常成功</x:v>
      </x:c>
      <x:c r="E33" s="20" t="str">
        <x:v>是</x:v>
      </x:c>
      <x:c r="F33" s="20" t="str">
        <x:v>我方技术支持</x:v>
      </x:c>
      <x:c r="G33" s="49" t="n">
        <x:v>46272</x:v>
      </x:c>
      <x:c r="H33" s="20" t="str">
        <x:v>未开始</x:v>
      </x:c>
      <x:c r="I33" s="20" t="str">
        <x:v>执行日志</x:v>
      </x:c>
      <x:c r="J33" s="20" t="str"/>
      <x:c r="K33" s="20" t="str"/>
      <x:c r="L33" s="51"/>
      <x:c r="M33" s="20" t="str"/>
    </x:row>
    <x:row r="34">
      <x:c r="A34" s="47" t="str">
        <x:v>SMK-08</x:v>
      </x:c>
      <x:c r="B34" s="20" t="str">
        <x:v>冒烟测试</x:v>
      </x:c>
      <x:c r="C34" s="20" t="str">
        <x:v>幂等重发验证通过</x:v>
      </x:c>
      <x:c r="D34" s="20" t="str">
        <x:v>模拟不确定提交结果时复用原幂等键，没有重复创建或重复扣费</x:v>
      </x:c>
      <x:c r="E34" s="20" t="str">
        <x:v>是</x:v>
      </x:c>
      <x:c r="F34" s="20" t="str">
        <x:v>双方</x:v>
      </x:c>
      <x:c r="G34" s="49" t="n">
        <x:v>46272</x:v>
      </x:c>
      <x:c r="H34" s="20" t="str">
        <x:v>未开始</x:v>
      </x:c>
      <x:c r="I34" s="20" t="str">
        <x:v>执行日志</x:v>
      </x:c>
      <x:c r="J34" s="20" t="str"/>
      <x:c r="K34" s="20" t="str"/>
      <x:c r="L34" s="51"/>
      <x:c r="M34" s="20" t="str"/>
    </x:row>
    <x:row r="35">
      <x:c r="A35" s="47" t="str">
        <x:v>SMK-09</x:v>
      </x:c>
      <x:c r="B35" s="20" t="str">
        <x:v>冒烟测试</x:v>
      </x:c>
      <x:c r="C35" s="20" t="str">
        <x:v>冒烟阶段无未关闭P0</x:v>
      </x:c>
      <x:c r="D35" s="20" t="str">
        <x:v>如出现数据安全、串租户或整体不可用问题，已停止后续真实案例测试</x:v>
      </x:c>
      <x:c r="E35" s="20" t="str">
        <x:v>是</x:v>
      </x:c>
      <x:c r="F35" s="20" t="str">
        <x:v>双方</x:v>
      </x:c>
      <x:c r="G35" s="49" t="n">
        <x:v>46272</x:v>
      </x:c>
      <x:c r="H35" s="20" t="str">
        <x:v>未开始</x:v>
      </x:c>
      <x:c r="I35" s="20" t="str">
        <x:v>问题清单</x:v>
      </x:c>
      <x:c r="J35" s="20" t="str"/>
      <x:c r="K35" s="20" t="str"/>
      <x:c r="L35" s="51"/>
      <x:c r="M35" s="20" t="str"/>
    </x:row>
    <x:row r="36">
      <x:c r="A36" s="47" t="str">
        <x:v>BASE-01</x:v>
      </x:c>
      <x:c r="B36" s="20" t="str">
        <x:v>批量基线测试</x:v>
      </x:c>
      <x:c r="C36" s="20" t="str">
        <x:v>生产配置保持冻结</x:v>
      </x:c>
      <x:c r="D36" s="20" t="str">
        <x:v>本批应用、提示词和模型配置与基线起点一致</x:v>
      </x:c>
      <x:c r="E36" s="20" t="str">
        <x:v>是</x:v>
      </x:c>
      <x:c r="F36" s="20" t="str">
        <x:v>我方技术人员</x:v>
      </x:c>
      <x:c r="G36" s="49" t="n">
        <x:v>46273</x:v>
      </x:c>
      <x:c r="H36" s="20" t="str">
        <x:v>未开始</x:v>
      </x:c>
      <x:c r="I36" s="20" t="str">
        <x:v>环境与版本</x:v>
      </x:c>
      <x:c r="J36" s="20" t="str"/>
      <x:c r="K36" s="20" t="str"/>
      <x:c r="L36" s="51"/>
      <x:c r="M36" s="20" t="str"/>
    </x:row>
    <x:row r="37">
      <x:c r="A37" s="47" t="str">
        <x:v>BASE-02</x:v>
      </x:c>
      <x:c r="B37" s="20" t="str">
        <x:v>批量基线测试</x:v>
      </x:c>
      <x:c r="C37" s="20" t="str">
        <x:v>按批次提交</x:v>
      </x:c>
      <x:c r="D37" s="20" t="str">
        <x:v>每批不超过5个案例，上一批状态明确后再开始下一批</x:v>
      </x:c>
      <x:c r="E37" s="20" t="str">
        <x:v>是</x:v>
      </x:c>
      <x:c r="F37" s="20" t="str">
        <x:v>宜运API对接人</x:v>
      </x:c>
      <x:c r="G37" s="49" t="n">
        <x:v>46274</x:v>
      </x:c>
      <x:c r="H37" s="20" t="str">
        <x:v>未开始</x:v>
      </x:c>
      <x:c r="I37" s="20" t="str">
        <x:v>执行日志</x:v>
      </x:c>
      <x:c r="J37" s="20" t="str"/>
      <x:c r="K37" s="20" t="str"/>
      <x:c r="L37" s="51"/>
      <x:c r="M37" s="20" t="str"/>
    </x:row>
    <x:row r="38">
      <x:c r="A38" s="47" t="str">
        <x:v>BASE-03</x:v>
      </x:c>
      <x:c r="B38" s="20" t="str">
        <x:v>批量基线测试</x:v>
      </x:c>
      <x:c r="C38" s="20" t="str">
        <x:v>控制并发</x:v>
      </x:c>
      <x:c r="D38" s="20" t="str">
        <x:v>默认并发不超过3，遇到429时按Retry-After等待</x:v>
      </x:c>
      <x:c r="E38" s="20" t="str">
        <x:v>是</x:v>
      </x:c>
      <x:c r="F38" s="20" t="str">
        <x:v>宜运API对接人</x:v>
      </x:c>
      <x:c r="G38" s="49" t="n">
        <x:v>46274</x:v>
      </x:c>
      <x:c r="H38" s="20" t="str">
        <x:v>未开始</x:v>
      </x:c>
      <x:c r="I38" s="20" t="str">
        <x:v>执行日志</x:v>
      </x:c>
      <x:c r="J38" s="20" t="str"/>
      <x:c r="K38" s="20" t="str"/>
      <x:c r="L38" s="51"/>
      <x:c r="M38" s="20" t="str"/>
    </x:row>
    <x:row r="39">
      <x:c r="A39" s="47" t="str">
        <x:v>BASE-04</x:v>
      </x:c>
      <x:c r="B39" s="20" t="str">
        <x:v>批量基线测试</x:v>
      </x:c>
      <x:c r="C39" s="20" t="str">
        <x:v>完整记录任务</x:v>
      </x:c>
      <x:c r="D39" s="20" t="str">
        <x:v>每次请求均登记幂等键、task_id、模式、时间、终态和结果路径</x:v>
      </x:c>
      <x:c r="E39" s="20" t="str">
        <x:v>是</x:v>
      </x:c>
      <x:c r="F39" s="20" t="str">
        <x:v>宜运API对接人</x:v>
      </x:c>
      <x:c r="G39" s="49" t="n">
        <x:v>46274</x:v>
      </x:c>
      <x:c r="H39" s="20" t="str">
        <x:v>未开始</x:v>
      </x:c>
      <x:c r="I39" s="20" t="str">
        <x:v>执行日志</x:v>
      </x:c>
      <x:c r="J39" s="20" t="str"/>
      <x:c r="K39" s="20" t="str"/>
      <x:c r="L39" s="51"/>
      <x:c r="M39" s="20" t="str"/>
    </x:row>
    <x:row r="40">
      <x:c r="A40" s="47" t="str">
        <x:v>BASE-05</x:v>
      </x:c>
      <x:c r="B40" s="20" t="str">
        <x:v>批量基线测试</x:v>
      </x:c>
      <x:c r="C40" s="20" t="str">
        <x:v>所有案例有明确结论</x:v>
      </x:c>
      <x:c r="D40" s="20" t="str">
        <x:v>案例取得终态，或记录超时、失败、暂停评分及排除原因</x:v>
      </x:c>
      <x:c r="E40" s="20" t="str">
        <x:v>是</x:v>
      </x:c>
      <x:c r="F40" s="20" t="str">
        <x:v>双方</x:v>
      </x:c>
      <x:c r="G40" s="49" t="n">
        <x:v>46274</x:v>
      </x:c>
      <x:c r="H40" s="20" t="str">
        <x:v>未开始</x:v>
      </x:c>
      <x:c r="I40" s="20" t="str">
        <x:v>案例台账</x:v>
      </x:c>
      <x:c r="J40" s="20" t="str"/>
      <x:c r="K40" s="20" t="str"/>
      <x:c r="L40" s="51"/>
      <x:c r="M40" s="20" t="str"/>
    </x:row>
    <x:row r="41">
      <x:c r="A41" s="47" t="str">
        <x:v>BASE-06</x:v>
      </x:c>
      <x:c r="B41" s="20" t="str">
        <x:v>批量基线测试</x:v>
      </x:c>
      <x:c r="C41" s="20" t="str">
        <x:v>两层结果核对完成</x:v>
      </x:c>
      <x:c r="D41" s="20" t="str">
        <x:v>程序精确对比与业务等价判断分别记录，不混用口径</x:v>
      </x:c>
      <x:c r="E41" s="20" t="str">
        <x:v>是</x:v>
      </x:c>
      <x:c r="F41" s="20" t="str">
        <x:v>宜运业务审核人</x:v>
      </x:c>
      <x:c r="G41" s="49" t="n">
        <x:v>46274</x:v>
      </x:c>
      <x:c r="H41" s="20" t="str">
        <x:v>未开始</x:v>
      </x:c>
      <x:c r="I41" s="20" t="str">
        <x:v>字段差异</x:v>
      </x:c>
      <x:c r="J41" s="20" t="str"/>
      <x:c r="K41" s="20" t="str"/>
      <x:c r="L41" s="51"/>
      <x:c r="M41" s="20" t="str"/>
    </x:row>
    <x:row r="42">
      <x:c r="A42" s="47" t="str">
        <x:v>BASE-07</x:v>
      </x:c>
      <x:c r="B42" s="20" t="str">
        <x:v>批量基线测试</x:v>
      </x:c>
      <x:c r="C42" s="20" t="str">
        <x:v>差异完成归因分级</x:v>
      </x:c>
      <x:c r="D42" s="20" t="str">
        <x:v>每项错误均有PARSER等归因、P0～P3等级和原文证据</x:v>
      </x:c>
      <x:c r="E42" s="20" t="str">
        <x:v>是</x:v>
      </x:c>
      <x:c r="F42" s="20" t="str">
        <x:v>双方</x:v>
      </x:c>
      <x:c r="G42" s="49" t="n">
        <x:v>46274</x:v>
      </x:c>
      <x:c r="H42" s="20" t="str">
        <x:v>未开始</x:v>
      </x:c>
      <x:c r="I42" s="20" t="str">
        <x:v>字段差异/问题清单</x:v>
      </x:c>
      <x:c r="J42" s="20" t="str"/>
      <x:c r="K42" s="20" t="str"/>
      <x:c r="L42" s="51"/>
      <x:c r="M42" s="20" t="str"/>
    </x:row>
    <x:row r="43">
      <x:c r="A43" s="47" t="str">
        <x:v>BASE-08</x:v>
      </x:c>
      <x:c r="B43" s="20" t="str">
        <x:v>批量基线测试</x:v>
      </x:c>
      <x:c r="C43" s="20" t="str">
        <x:v>争议金标暂停评分</x:v>
      </x:c>
      <x:c r="D43" s="20" t="str">
        <x:v>BUSINESS_UNCLEAR或GOLD_ERROR案例不强行判模型错误，已登记待确认人</x:v>
      </x:c>
      <x:c r="E43" s="20" t="str">
        <x:v>是</x:v>
      </x:c>
      <x:c r="F43" s="20" t="str">
        <x:v>双方</x:v>
      </x:c>
      <x:c r="G43" s="49" t="n">
        <x:v>46274</x:v>
      </x:c>
      <x:c r="H43" s="20" t="str">
        <x:v>未开始</x:v>
      </x:c>
      <x:c r="I43" s="20" t="str">
        <x:v>口径确认/问题清单</x:v>
      </x:c>
      <x:c r="J43" s="20" t="str"/>
      <x:c r="K43" s="20" t="str"/>
      <x:c r="L43" s="51"/>
      <x:c r="M43" s="20" t="str"/>
    </x:row>
    <x:row r="44">
      <x:c r="A44" s="47" t="str">
        <x:v>HIGH-01</x:v>
      </x:c>
      <x:c r="B44" s="20" t="str">
        <x:v>高精度识别对比</x:v>
      </x:c>
      <x:c r="C44" s="20" t="str">
        <x:v>使用同一原始文件</x:v>
      </x:c>
      <x:c r="D44" s="20" t="str">
        <x:v>Standard和High Accuracy使用完全相同、未修改的原始文件</x:v>
      </x:c>
      <x:c r="E44" s="20" t="str">
        <x:v>是</x:v>
      </x:c>
      <x:c r="F44" s="20" t="str">
        <x:v>宜运API对接人</x:v>
      </x:c>
      <x:c r="G44" s="49" t="n">
        <x:v>46275</x:v>
      </x:c>
      <x:c r="H44" s="20" t="str">
        <x:v>未开始</x:v>
      </x:c>
      <x:c r="I44" s="20" t="str">
        <x:v>高精度AB</x:v>
      </x:c>
      <x:c r="J44" s="20" t="str"/>
      <x:c r="K44" s="20" t="str"/>
      <x:c r="L44" s="51"/>
      <x:c r="M44" s="20" t="str"/>
    </x:row>
    <x:row r="45">
      <x:c r="A45" s="47" t="str">
        <x:v>HIGH-02</x:v>
      </x:c>
      <x:c r="B45" s="20" t="str">
        <x:v>高精度识别对比</x:v>
      </x:c>
      <x:c r="C45" s="20" t="str">
        <x:v>使用不同幂等键</x:v>
      </x:c>
      <x:c r="D45" s="20" t="str">
        <x:v>两种识别模式分别提交，幂等键包含对应模式</x:v>
      </x:c>
      <x:c r="E45" s="20" t="str">
        <x:v>是</x:v>
      </x:c>
      <x:c r="F45" s="20" t="str">
        <x:v>宜运API对接人</x:v>
      </x:c>
      <x:c r="G45" s="49" t="n">
        <x:v>46275</x:v>
      </x:c>
      <x:c r="H45" s="20" t="str">
        <x:v>未开始</x:v>
      </x:c>
      <x:c r="I45" s="20" t="str">
        <x:v>执行日志</x:v>
      </x:c>
      <x:c r="J45" s="20" t="str"/>
      <x:c r="K45" s="20" t="str"/>
      <x:c r="L45" s="51"/>
      <x:c r="M45" s="20" t="str"/>
    </x:row>
    <x:row r="46">
      <x:c r="A46" s="47" t="str">
        <x:v>HIGH-03</x:v>
      </x:c>
      <x:c r="B46" s="20" t="str">
        <x:v>高精度识别对比</x:v>
      </x:c>
      <x:c r="C46" s="20" t="str">
        <x:v>高精度PDF页数合规</x:v>
      </x:c>
      <x:c r="D46" s="20" t="str">
        <x:v>使用high_accuracy的PDF不超过20页；超限文件登记后暂停处理</x:v>
      </x:c>
      <x:c r="E46" s="20" t="str">
        <x:v>是</x:v>
      </x:c>
      <x:c r="F46" s="20" t="str">
        <x:v>宜运API对接人</x:v>
      </x:c>
      <x:c r="G46" s="49" t="n">
        <x:v>46275</x:v>
      </x:c>
      <x:c r="H46" s="20" t="str">
        <x:v>未开始</x:v>
      </x:c>
      <x:c r="I46" s="20" t="str">
        <x:v>案例台账</x:v>
      </x:c>
      <x:c r="J46" s="20" t="str"/>
      <x:c r="K46" s="20" t="str"/>
      <x:c r="L46" s="51"/>
      <x:c r="M46" s="20" t="str"/>
    </x:row>
    <x:row r="47">
      <x:c r="A47" s="47" t="str">
        <x:v>HIGH-04</x:v>
      </x:c>
      <x:c r="B47" s="20" t="str">
        <x:v>高精度识别对比</x:v>
      </x:c>
      <x:c r="C47" s="20" t="str">
        <x:v>记录两种模式准确率</x:v>
      </x:c>
      <x:c r="D47" s="20" t="str">
        <x:v>Standard和High Accuracy使用同一金标并分别记录准确率</x:v>
      </x:c>
      <x:c r="E47" s="20" t="str">
        <x:v>是</x:v>
      </x:c>
      <x:c r="F47" s="20" t="str">
        <x:v>双方</x:v>
      </x:c>
      <x:c r="G47" s="49" t="n">
        <x:v>46275</x:v>
      </x:c>
      <x:c r="H47" s="20" t="str">
        <x:v>未开始</x:v>
      </x:c>
      <x:c r="I47" s="20" t="str">
        <x:v>高精度AB</x:v>
      </x:c>
      <x:c r="J47" s="20" t="str"/>
      <x:c r="K47" s="20" t="str"/>
      <x:c r="L47" s="51"/>
      <x:c r="M47" s="20" t="str"/>
    </x:row>
    <x:row r="48">
      <x:c r="A48" s="47" t="str">
        <x:v>HIGH-05</x:v>
      </x:c>
      <x:c r="B48" s="20" t="str">
        <x:v>高精度识别对比</x:v>
      </x:c>
      <x:c r="C48" s="20" t="str">
        <x:v>记录视觉页数与耗时</x:v>
      </x:c>
      <x:c r="D48" s="20" t="str">
        <x:v>两种模式的视觉页数、总耗时及额外耗时均已填写</x:v>
      </x:c>
      <x:c r="E48" s="20" t="str">
        <x:v>是</x:v>
      </x:c>
      <x:c r="F48" s="20" t="str">
        <x:v>宜运API对接人</x:v>
      </x:c>
      <x:c r="G48" s="49" t="n">
        <x:v>46275</x:v>
      </x:c>
      <x:c r="H48" s="20" t="str">
        <x:v>未开始</x:v>
      </x:c>
      <x:c r="I48" s="20" t="str">
        <x:v>高精度AB/执行日志</x:v>
      </x:c>
      <x:c r="J48" s="20" t="str"/>
      <x:c r="K48" s="20" t="str"/>
      <x:c r="L48" s="51"/>
      <x:c r="M48" s="20" t="str"/>
    </x:row>
    <x:row r="49">
      <x:c r="A49" s="47" t="str">
        <x:v>HIGH-06</x:v>
      </x:c>
      <x:c r="B49" s="20" t="str">
        <x:v>高精度识别对比</x:v>
      </x:c>
      <x:c r="C49" s="20" t="str">
        <x:v>记录改善和退化字段</x:v>
      </x:c>
      <x:c r="D49" s="20" t="str">
        <x:v>明确列出高精度模式改善的字段、退化字段及原文证据</x:v>
      </x:c>
      <x:c r="E49" s="20" t="str">
        <x:v>是</x:v>
      </x:c>
      <x:c r="F49" s="20" t="str">
        <x:v>宜运业务审核人</x:v>
      </x:c>
      <x:c r="G49" s="49" t="n">
        <x:v>46275</x:v>
      </x:c>
      <x:c r="H49" s="20" t="str">
        <x:v>未开始</x:v>
      </x:c>
      <x:c r="I49" s="20" t="str">
        <x:v>字段差异/问题清单</x:v>
      </x:c>
      <x:c r="J49" s="20" t="str"/>
      <x:c r="K49" s="20" t="str"/>
      <x:c r="L49" s="51"/>
      <x:c r="M49" s="20" t="str"/>
    </x:row>
    <x:row r="50">
      <x:c r="A50" s="47" t="str">
        <x:v>HIGH-07</x:v>
      </x:c>
      <x:c r="B50" s="20" t="str">
        <x:v>高精度识别对比</x:v>
      </x:c>
      <x:c r="C50" s="20" t="str">
        <x:v>形成模式建议</x:v>
      </x:c>
      <x:c r="D50" s="20" t="str">
        <x:v>按文件类型给出建议高精度、标准模式足够或高精度无改善结论</x:v>
      </x:c>
      <x:c r="E50" s="20" t="str">
        <x:v>是</x:v>
      </x:c>
      <x:c r="F50" s="20" t="str">
        <x:v>双方</x:v>
      </x:c>
      <x:c r="G50" s="49" t="n">
        <x:v>46275</x:v>
      </x:c>
      <x:c r="H50" s="20" t="str">
        <x:v>未开始</x:v>
      </x:c>
      <x:c r="I50" s="20" t="str">
        <x:v>高精度AB</x:v>
      </x:c>
      <x:c r="J50" s="20" t="str"/>
      <x:c r="K50" s="20" t="str"/>
      <x:c r="L50" s="51"/>
      <x:c r="M50" s="20" t="str"/>
    </x:row>
    <x:row r="51">
      <x:c r="A51" s="47" t="str">
        <x:v>FIX-01</x:v>
      </x:c>
      <x:c r="B51" s="20" t="str">
        <x:v>问题、反馈与复测</x:v>
      </x:c>
      <x:c r="C51" s="20" t="str">
        <x:v>问题信息完整</x:v>
      </x:c>
      <x:c r="D51" s="20" t="str">
        <x:v>问题包含案例、字段、归因、等级、现象、原文证据、预期和实际结果</x:v>
      </x:c>
      <x:c r="E51" s="20" t="str">
        <x:v>是</x:v>
      </x:c>
      <x:c r="F51" s="20" t="str">
        <x:v>双方</x:v>
      </x:c>
      <x:c r="G51" s="49" t="n">
        <x:v>46275</x:v>
      </x:c>
      <x:c r="H51" s="20" t="str">
        <x:v>未开始</x:v>
      </x:c>
      <x:c r="I51" s="20" t="str">
        <x:v>问题清单</x:v>
      </x:c>
      <x:c r="J51" s="20" t="str"/>
      <x:c r="K51" s="20" t="str"/>
      <x:c r="L51" s="51"/>
      <x:c r="M51" s="20" t="str"/>
    </x:row>
    <x:row r="52">
      <x:c r="A52" s="47" t="str">
        <x:v>FIX-02</x:v>
      </x:c>
      <x:c r="B52" s="20" t="str">
        <x:v>问题、反馈与复测</x:v>
      </x:c>
      <x:c r="C52" s="20" t="str">
        <x:v>业务确认纠错内容</x:v>
      </x:c>
      <x:c r="D52" s="20" t="str">
        <x:v>corrected_result中的字段和值已经宜运业务人员确认</x:v>
      </x:c>
      <x:c r="E52" s="20" t="str">
        <x:v>是</x:v>
      </x:c>
      <x:c r="F52" s="20" t="str">
        <x:v>宜运业务审核人</x:v>
      </x:c>
      <x:c r="G52" s="49" t="n">
        <x:v>46275</x:v>
      </x:c>
      <x:c r="H52" s="20" t="str">
        <x:v>未开始</x:v>
      </x:c>
      <x:c r="I52" s="20" t="str">
        <x:v>字段差异/反馈记录</x:v>
      </x:c>
      <x:c r="J52" s="20" t="str"/>
      <x:c r="K52" s="20" t="str"/>
      <x:c r="L52" s="51"/>
      <x:c r="M52" s="20" t="str"/>
    </x:row>
    <x:row r="53">
      <x:c r="A53" s="47" t="str">
        <x:v>FIX-03</x:v>
      </x:c>
      <x:c r="B53" s="20" t="str">
        <x:v>问题、反馈与复测</x:v>
      </x:c>
      <x:c r="C53" s="20" t="str">
        <x:v>基线完成后再采纳反馈</x:v>
      </x:c>
      <x:c r="D53" s="20" t="str">
        <x:v>首轮基线已完成，反馈不会改变同一批次的系统行为</x:v>
      </x:c>
      <x:c r="E53" s="20" t="str">
        <x:v>是</x:v>
      </x:c>
      <x:c r="F53" s="20" t="str">
        <x:v>双方</x:v>
      </x:c>
      <x:c r="G53" s="49" t="n">
        <x:v>46275</x:v>
      </x:c>
      <x:c r="H53" s="20" t="str">
        <x:v>未开始</x:v>
      </x:c>
      <x:c r="I53" s="20" t="str">
        <x:v>案例台账</x:v>
      </x:c>
      <x:c r="J53" s="20" t="str"/>
      <x:c r="K53" s="20" t="str"/>
      <x:c r="L53" s="51"/>
      <x:c r="M53" s="20" t="str"/>
    </x:row>
    <x:row r="54">
      <x:c r="A54" s="47" t="str">
        <x:v>FIX-04</x:v>
      </x:c>
      <x:c r="B54" s="20" t="str">
        <x:v>问题、反馈与复测</x:v>
      </x:c>
      <x:c r="C54" s="20" t="str">
        <x:v>反馈只提交确认字段</x:v>
      </x:c>
      <x:c r="D54" s="20" t="str">
        <x:v>corrected_result不夹带未核实字段，notes包含案例编号、原文证据和预期规则</x:v>
      </x:c>
      <x:c r="E54" s="20" t="str">
        <x:v>是</x:v>
      </x:c>
      <x:c r="F54" s="20" t="str">
        <x:v>宜运业务审核人</x:v>
      </x:c>
      <x:c r="G54" s="49" t="n">
        <x:v>46275</x:v>
      </x:c>
      <x:c r="H54" s="20" t="str">
        <x:v>未开始</x:v>
      </x:c>
      <x:c r="I54" s="20" t="str">
        <x:v>反馈记录</x:v>
      </x:c>
      <x:c r="J54" s="20" t="str"/>
      <x:c r="K54" s="20" t="str"/>
      <x:c r="L54" s="51"/>
      <x:c r="M54" s="20" t="str"/>
    </x:row>
    <x:row r="55">
      <x:c r="A55" s="47" t="str">
        <x:v>FIX-05</x:v>
      </x:c>
      <x:c r="B55" s="20" t="str">
        <x:v>问题、反馈与复测</x:v>
      </x:c>
      <x:c r="C55" s="20" t="str">
        <x:v>主动复测次数受控</x:v>
      </x:c>
      <x:c r="D55" s="20" t="str">
        <x:v>同一案例最多主动复测一次；再次失败后转问题分析</x:v>
      </x:c>
      <x:c r="E55" s="20" t="str">
        <x:v>是</x:v>
      </x:c>
      <x:c r="F55" s="20" t="str">
        <x:v>双方</x:v>
      </x:c>
      <x:c r="G55" s="49" t="n">
        <x:v>46275</x:v>
      </x:c>
      <x:c r="H55" s="20" t="str">
        <x:v>未开始</x:v>
      </x:c>
      <x:c r="I55" s="20" t="str">
        <x:v>执行日志</x:v>
      </x:c>
      <x:c r="J55" s="20" t="str"/>
      <x:c r="K55" s="20" t="str"/>
      <x:c r="L55" s="51"/>
      <x:c r="M55" s="20" t="str"/>
    </x:row>
    <x:row r="56">
      <x:c r="A56" s="47" t="str">
        <x:v>FIX-06</x:v>
      </x:c>
      <x:c r="B56" s="20" t="str">
        <x:v>问题、反馈与复测</x:v>
      </x:c>
      <x:c r="C56" s="20" t="str">
        <x:v>复测关联原任务</x:v>
      </x:c>
      <x:c r="D56" s="20" t="str">
        <x:v>复测Task ID、原Task ID、问题ID和版本信息可互相追溯</x:v>
      </x:c>
      <x:c r="E56" s="20" t="str">
        <x:v>是</x:v>
      </x:c>
      <x:c r="F56" s="20" t="str">
        <x:v>宜运API对接人</x:v>
      </x:c>
      <x:c r="G56" s="49" t="n">
        <x:v>46275</x:v>
      </x:c>
      <x:c r="H56" s="20" t="str">
        <x:v>未开始</x:v>
      </x:c>
      <x:c r="I56" s="20" t="str">
        <x:v>案例台账/问题清单</x:v>
      </x:c>
      <x:c r="J56" s="20" t="str"/>
      <x:c r="K56" s="20" t="str"/>
      <x:c r="L56" s="51"/>
      <x:c r="M56" s="20" t="str"/>
    </x:row>
    <x:row r="57">
      <x:c r="A57" s="47" t="str">
        <x:v>FIX-07</x:v>
      </x:c>
      <x:c r="B57" s="20" t="str">
        <x:v>问题、反馈与复测</x:v>
      </x:c>
      <x:c r="C57" s="20" t="str">
        <x:v>问题有负责人和下一步</x:v>
      </x:c>
      <x:c r="D57" s="20" t="str">
        <x:v>所有未关闭问题均填写负责人、计划完成日和结论或下一步</x:v>
      </x:c>
      <x:c r="E57" s="20" t="str">
        <x:v>是</x:v>
      </x:c>
      <x:c r="F57" s="20" t="str">
        <x:v>双方</x:v>
      </x:c>
      <x:c r="G57" s="49" t="n">
        <x:v>46275</x:v>
      </x:c>
      <x:c r="H57" s="20" t="str">
        <x:v>未开始</x:v>
      </x:c>
      <x:c r="I57" s="20" t="str">
        <x:v>问题清单</x:v>
      </x:c>
      <x:c r="J57" s="20" t="str"/>
      <x:c r="K57" s="20" t="str"/>
      <x:c r="L57" s="51"/>
      <x:c r="M57" s="20" t="str"/>
    </x:row>
    <x:row r="58">
      <x:c r="A58" s="47" t="str">
        <x:v>END-01</x:v>
      </x:c>
      <x:c r="B58" s="20" t="str">
        <x:v>测试收尾</x:v>
      </x:c>
      <x:c r="C58" s="20" t="str">
        <x:v>案例统计范围完整</x:v>
      </x:c>
      <x:c r="D58" s="20" t="str">
        <x:v>所有案例已纳入统计，或明确记录暂停评分、失败及排除原因</x:v>
      </x:c>
      <x:c r="E58" s="20" t="str">
        <x:v>是</x:v>
      </x:c>
      <x:c r="F58" s="20" t="str">
        <x:v>双方</x:v>
      </x:c>
      <x:c r="G58" s="49" t="n">
        <x:v>46276</x:v>
      </x:c>
      <x:c r="H58" s="20" t="str">
        <x:v>未开始</x:v>
      </x:c>
      <x:c r="I58" s="20" t="str">
        <x:v>案例台账</x:v>
      </x:c>
      <x:c r="J58" s="20" t="str"/>
      <x:c r="K58" s="20" t="str"/>
      <x:c r="L58" s="51"/>
      <x:c r="M58" s="20" t="str"/>
    </x:row>
    <x:row r="59">
      <x:c r="A59" s="47" t="str">
        <x:v>END-02</x:v>
      </x:c>
      <x:c r="B59" s="20" t="str">
        <x:v>测试收尾</x:v>
      </x:c>
      <x:c r="C59" s="20" t="str">
        <x:v>P0/P1完成处置</x:v>
      </x:c>
      <x:c r="D59" s="20" t="str">
        <x:v>所有P0/P1均已关闭、复测通过，或有双方认可的书面处理计划</x:v>
      </x:c>
      <x:c r="E59" s="20" t="str">
        <x:v>是</x:v>
      </x:c>
      <x:c r="F59" s="20" t="str">
        <x:v>双方</x:v>
      </x:c>
      <x:c r="G59" s="49" t="n">
        <x:v>46276</x:v>
      </x:c>
      <x:c r="H59" s="20" t="str">
        <x:v>未开始</x:v>
      </x:c>
      <x:c r="I59" s="20" t="str">
        <x:v>问题清单</x:v>
      </x:c>
      <x:c r="J59" s="20" t="str"/>
      <x:c r="K59" s="20" t="str"/>
      <x:c r="L59" s="51"/>
      <x:c r="M59" s="20" t="str"/>
    </x:row>
    <x:row r="60">
      <x:c r="A60" s="47" t="str">
        <x:v>END-03</x:v>
      </x:c>
      <x:c r="B60" s="20" t="str">
        <x:v>测试收尾</x:v>
      </x:c>
      <x:c r="C60" s="20" t="str">
        <x:v>统计指标核对无误</x:v>
      </x:c>
      <x:c r="D60" s="20" t="str">
        <x:v>统计看板无公式错误，关键数字与案例及执行日志抽查一致</x:v>
      </x:c>
      <x:c r="E60" s="20" t="str">
        <x:v>是</x:v>
      </x:c>
      <x:c r="F60" s="20" t="str">
        <x:v>我方技术支持</x:v>
      </x:c>
      <x:c r="G60" s="49" t="n">
        <x:v>46276</x:v>
      </x:c>
      <x:c r="H60" s="20" t="str">
        <x:v>未开始</x:v>
      </x:c>
      <x:c r="I60" s="20" t="str">
        <x:v>统计看板</x:v>
      </x:c>
      <x:c r="J60" s="20" t="str"/>
      <x:c r="K60" s="20" t="str"/>
      <x:c r="L60" s="51"/>
      <x:c r="M60" s="20" t="str"/>
    </x:row>
    <x:row r="61">
      <x:c r="A61" s="47" t="str">
        <x:v>END-04</x:v>
      </x:c>
      <x:c r="B61" s="20" t="str">
        <x:v>测试收尾</x:v>
      </x:c>
      <x:c r="C61" s="20" t="str">
        <x:v>安全检查完成</x:v>
      </x:c>
      <x:c r="D61" s="20" t="str">
        <x:v>报告、台账和共享材料中不存在完整API Key、Webhook Secret或其他敏感凭据</x:v>
      </x:c>
      <x:c r="E61" s="20" t="str">
        <x:v>是</x:v>
      </x:c>
      <x:c r="F61" s="20" t="str">
        <x:v>双方</x:v>
      </x:c>
      <x:c r="G61" s="49" t="n">
        <x:v>46276</x:v>
      </x:c>
      <x:c r="H61" s="20" t="str">
        <x:v>未开始</x:v>
      </x:c>
      <x:c r="I61" s="20" t="str">
        <x:v>最终材料</x:v>
      </x:c>
      <x:c r="J61" s="20" t="str"/>
      <x:c r="K61" s="20" t="str"/>
      <x:c r="L61" s="51"/>
      <x:c r="M61" s="20" t="str"/>
    </x:row>
    <x:row r="62">
      <x:c r="A62" s="47" t="str">
        <x:v>END-05</x:v>
      </x:c>
      <x:c r="B62" s="20" t="str">
        <x:v>测试收尾</x:v>
      </x:c>
      <x:c r="C62" s="20" t="str">
        <x:v>基线与验收结论区分</x:v>
      </x:c>
      <x:c r="D62" s="20" t="str">
        <x:v>报告明确本轮为当前能力基线，不表述为已经正式验收通过</x:v>
      </x:c>
      <x:c r="E62" s="20" t="str">
        <x:v>是</x:v>
      </x:c>
      <x:c r="F62" s="20" t="str">
        <x:v>双方</x:v>
      </x:c>
      <x:c r="G62" s="49" t="n">
        <x:v>46276</x:v>
      </x:c>
      <x:c r="H62" s="20" t="str">
        <x:v>未开始</x:v>
      </x:c>
      <x:c r="I62" s="20" t="str">
        <x:v>最终报告</x:v>
      </x:c>
      <x:c r="J62" s="20" t="str"/>
      <x:c r="K62" s="20" t="str"/>
      <x:c r="L62" s="51"/>
      <x:c r="M62" s="20" t="str"/>
    </x:row>
    <x:row r="63">
      <x:c r="A63" s="47" t="str">
        <x:v>END-06</x:v>
      </x:c>
      <x:c r="B63" s="20" t="str">
        <x:v>测试收尾</x:v>
      </x:c>
      <x:c r="C63" s="20" t="str">
        <x:v>待确认业务口径已汇总</x:v>
      </x:c>
      <x:c r="D63" s="20" t="str">
        <x:v>所有未确认字段规则均有问题说明、客户确认人和后续日期</x:v>
      </x:c>
      <x:c r="E63" s="20" t="str">
        <x:v>是</x:v>
      </x:c>
      <x:c r="F63" s="20" t="str">
        <x:v>双方</x:v>
      </x:c>
      <x:c r="G63" s="49" t="n">
        <x:v>46276</x:v>
      </x:c>
      <x:c r="H63" s="20" t="str">
        <x:v>未开始</x:v>
      </x:c>
      <x:c r="I63" s="20" t="str">
        <x:v>口径确认</x:v>
      </x:c>
      <x:c r="J63" s="20" t="str"/>
      <x:c r="K63" s="20" t="str"/>
      <x:c r="L63" s="51"/>
      <x:c r="M63" s="20" t="str"/>
    </x:row>
    <x:row r="64">
      <x:c r="A64" s="47" t="str">
        <x:v>END-07</x:v>
      </x:c>
      <x:c r="B64" s="20" t="str">
        <x:v>测试收尾</x:v>
      </x:c>
      <x:c r="C64" s="20" t="str">
        <x:v>形成下一轮门槛</x:v>
      </x:c>
      <x:c r="D64" s="20" t="str">
        <x:v>基于本轮基线形成关键字段、准确率、稳定性和时效的书面建议门槛</x:v>
      </x:c>
      <x:c r="E64" s="20" t="str">
        <x:v>是</x:v>
      </x:c>
      <x:c r="F64" s="20" t="str">
        <x:v>双方</x:v>
      </x:c>
      <x:c r="G64" s="49" t="n">
        <x:v>46276</x:v>
      </x:c>
      <x:c r="H64" s="20" t="str">
        <x:v>未开始</x:v>
      </x:c>
      <x:c r="I64" s="20" t="str">
        <x:v>最终报告</x:v>
      </x:c>
      <x:c r="J64" s="20" t="str"/>
      <x:c r="K64" s="20" t="str"/>
      <x:c r="L64" s="51"/>
      <x:c r="M64" s="20" t="str"/>
    </x:row>
  </x:sheetData>
  <x:mergeCells>
    <x:mergeCell ref="A1:M1"/>
    <x:mergeCell ref="A5:B6"/>
    <x:mergeCell ref="C5:M6"/>
    <x:mergeCell ref="A8:M8"/>
  </x:mergeCells>
  <x:conditionalFormatting sqref="C5:M6">
    <x:cfRule type="containsText" dxfId="0" priority="1" operator="containsText" text="可以进入下一阶段"/>
    <x:cfRule type="containsText" dxfId="1" priority="2" operator="containsText" text="暂停测试"/>
  </x:conditionalFormatting>
  <x:conditionalFormatting sqref="H11:H64">
    <x:cfRule type="containsText" dxfId="2" priority="3" operator="containsText" text="已通过"/>
    <x:cfRule type="containsText" dxfId="3" priority="4" operator="containsText" text="不通过"/>
    <x:cfRule type="containsText" dxfId="4" priority="5" operator="containsText" text="进行中"/>
    <x:cfRule type="containsText" dxfId="5" priority="6" operator="containsText" text="不适用"/>
  </x:conditionalFormatting>
  <x:dataValidations count="2">
    <x:dataValidation type="list" sqref="E11:E64">
      <x:formula1>"是,否"</x:formula1>
    </x:dataValidation>
    <x:dataValidation type="list" sqref="H11:H64">
      <x:formula1>"未开始,进行中,已通过,不通过,不适用"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3c9506df8445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2" hidden="0" customWidth="1"/>
    <x:col min="4" max="4" width="14" hidden="0" customWidth="1"/>
    <x:col min="5" max="5" width="44" hidden="0" customWidth="1"/>
  </x:cols>
  <x:sheetData>
    <x:row r="1" ht="32" customHeight="1">
      <x:c r="A1" s="4" t="str">
        <x:v>环境、安全与版本冻结记录</x:v>
      </x:c>
      <x:c r="B1" s="4" t="str">
        <x:v>环境、安全与版本冻结记录</x:v>
      </x:c>
      <x:c r="C1" s="4" t="str">
        <x:v>环境、安全与版本冻结记录</x:v>
      </x:c>
      <x:c r="D1" s="4" t="str">
        <x:v>环境、安全与版本冻结记录</x:v>
      </x:c>
      <x:c r="E1" s="4" t="str">
        <x:v>环境、安全与版本冻结记录</x:v>
      </x:c>
    </x:row>
    <x:row r="3" ht="30" customHeight="1">
      <x:c r="A3" s="13" t="str">
        <x:v>项目</x:v>
      </x:c>
      <x:c r="B3" s="13" t="str">
        <x:v>填写值</x:v>
      </x:c>
      <x:c r="C3" s="13" t="str">
        <x:v>负责人</x:v>
      </x:c>
      <x:c r="D3" s="13" t="str">
        <x:v>确认状态</x:v>
      </x:c>
      <x:c r="E3" s="13" t="str">
        <x:v>说明</x:v>
      </x:c>
    </x:row>
    <x:row r="4">
      <x:c r="A4" s="19" t="str">
        <x:v>Base URL</x:v>
      </x:c>
      <x:c r="B4" s="19" t="str">
        <x:v>http://115.29.213.72:30010</x:v>
      </x:c>
      <x:c r="C4" s="19" t="str"/>
      <x:c r="D4" s="19" t="str">
        <x:v>待确认</x:v>
      </x:c>
      <x:c r="E4" s="19" t="str">
        <x:v>正式环境应使用 HTTPS</x:v>
      </x:c>
    </x:row>
    <x:row r="5">
      <x:c r="A5" s="20" t="str">
        <x:v>网络链路</x:v>
      </x:c>
      <x:c r="B5" s="20" t="str"/>
      <x:c r="C5" s="20" t="str">
        <x:v>宜运API对接人</x:v>
      </x:c>
      <x:c r="D5" s="20" t="str">
        <x:v>待确认</x:v>
      </x:c>
      <x:c r="E5" s="20" t="str">
        <x:v>确认属于双方认可的受控环境</x:v>
      </x:c>
    </x:row>
    <x:row r="6">
      <x:c r="A6" s="20" t="str">
        <x:v>测试租户</x:v>
      </x:c>
      <x:c r="B6" s="20" t="str"/>
      <x:c r="C6" s="20" t="str">
        <x:v>我方管理员</x:v>
      </x:c>
      <x:c r="D6" s="20" t="str">
        <x:v>待确认</x:v>
      </x:c>
      <x:c r="E6" s="20" t="str">
        <x:v>不要填写 API Key</x:v>
      </x:c>
    </x:row>
    <x:row r="7">
      <x:c r="A7" s="20" t="str">
        <x:v>租户余额</x:v>
      </x:c>
      <x:c r="B7" s="20" t="str"/>
      <x:c r="C7" s="20" t="str">
        <x:v>我方管理员</x:v>
      </x:c>
      <x:c r="D7" s="20" t="str">
        <x:v>待确认</x:v>
      </x:c>
      <x:c r="E7" s="20" t="str">
        <x:v>覆盖基线、A/B和一次复测</x:v>
      </x:c>
    </x:row>
    <x:row r="8">
      <x:c r="A8" s="20" t="str">
        <x:v>应用/镜像版本</x:v>
      </x:c>
      <x:c r="B8" s="20" t="str"/>
      <x:c r="C8" s="20" t="str">
        <x:v>我方技术人员</x:v>
      </x:c>
      <x:c r="D8" s="20" t="str">
        <x:v>待确认</x:v>
      </x:c>
      <x:c r="E8" s="20" t="str">
        <x:v>测试周内保持冻结</x:v>
      </x:c>
    </x:row>
    <x:row r="9">
      <x:c r="A9" s="20" t="str">
        <x:v>生产提示词版本</x:v>
      </x:c>
      <x:c r="B9" s="20" t="str"/>
      <x:c r="C9" s="20" t="str">
        <x:v>我方技术人员</x:v>
      </x:c>
      <x:c r="D9" s="20" t="str">
        <x:v>待确认</x:v>
      </x:c>
      <x:c r="E9" s="20" t="str">
        <x:v>记录当前实际生效版本</x:v>
      </x:c>
    </x:row>
    <x:row r="10">
      <x:c r="A10" s="20" t="str">
        <x:v>主模型配置名称</x:v>
      </x:c>
      <x:c r="B10" s="20" t="str"/>
      <x:c r="C10" s="20" t="str">
        <x:v>我方技术人员</x:v>
      </x:c>
      <x:c r="D10" s="20" t="str">
        <x:v>待确认</x:v>
      </x:c>
      <x:c r="E10" s="20" t="str">
        <x:v>只记录配置名称，不记录密钥</x:v>
      </x:c>
    </x:row>
    <x:row r="11">
      <x:c r="A11" s="20" t="str">
        <x:v>测试开始时间</x:v>
      </x:c>
      <x:c r="B11" s="20" t="str">
        <x:v>2026-09-07</x:v>
      </x:c>
      <x:c r="C11" s="20" t="str">
        <x:v>双方</x:v>
      </x:c>
      <x:c r="D11" s="20" t="str">
        <x:v>待确认</x:v>
      </x:c>
      <x:c r="E11" s="20" t="str"/>
    </x:row>
    <x:row r="12">
      <x:c r="A12" s="20" t="str">
        <x:v>宜运业务审核人</x:v>
      </x:c>
      <x:c r="B12" s="20" t="str"/>
      <x:c r="C12" s="20" t="str">
        <x:v>宜运</x:v>
      </x:c>
      <x:c r="D12" s="20" t="str">
        <x:v>待确认</x:v>
      </x:c>
      <x:c r="E12" s="20" t="str">
        <x:v>负责标准答案和业务等价判断</x:v>
      </x:c>
    </x:row>
    <x:row r="13">
      <x:c r="A13" s="20" t="str">
        <x:v>宜运API对接人</x:v>
      </x:c>
      <x:c r="B13" s="20" t="str"/>
      <x:c r="C13" s="20" t="str">
        <x:v>宜运</x:v>
      </x:c>
      <x:c r="D13" s="20" t="str">
        <x:v>待确认</x:v>
      </x:c>
      <x:c r="E13" s="20" t="str">
        <x:v>负责提交、轮询和日志</x:v>
      </x:c>
    </x:row>
    <x:row r="14">
      <x:c r="A14" s="20" t="str">
        <x:v>我方技术支持</x:v>
      </x:c>
      <x:c r="B14" s="20" t="str"/>
      <x:c r="C14" s="20" t="str">
        <x:v>我方</x:v>
      </x:c>
      <x:c r="D14" s="20" t="str">
        <x:v>待确认</x:v>
      </x:c>
      <x:c r="E14" s="20" t="str">
        <x:v>负责故障排查和归因</x:v>
      </x:c>
    </x:row>
  </x:sheetData>
  <x:mergeCells>
    <x:mergeCell ref="A1:E1"/>
  </x:mergeCells>
  <x:conditionalFormatting sqref="D4:D14">
    <x:cfRule type="containsText" dxfId="6" priority="1" operator="containsText" text="已确认"/>
    <x:cfRule type="containsText" dxfId="7" priority="2" operator="containsText" text="待确认"/>
  </x:conditionalFormatting>
  <x:dataValidations count="1">
    <x:dataValidation type="list" sqref="D4:D14">
      <x:formula1>"待确认,已确认,不适用"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18" hidden="0" customWidth="1"/>
    <x:col min="5" max="5" width="18" hidden="0" customWidth="1"/>
    <x:col min="6" max="6" width="13" hidden="0" customWidth="1"/>
    <x:col min="7" max="7" width="16" hidden="0" customWidth="1"/>
    <x:col min="8" max="8" width="15" hidden="0" customWidth="1"/>
    <x:col min="9" max="9" width="13" hidden="0" customWidth="1"/>
    <x:col min="10" max="10" width="25" hidden="0" customWidth="1"/>
    <x:col min="11" max="11" width="14" hidden="0" customWidth="1"/>
    <x:col min="12" max="12" width="15" hidden="0" customWidth="1"/>
    <x:col min="13" max="13" width="16" hidden="0" customWidth="1"/>
    <x:col min="14" max="14" width="13" hidden="0" customWidth="1"/>
    <x:col min="15" max="15" width="34" hidden="0" customWidth="1"/>
    <x:col min="16" max="16" width="25" hidden="0" customWidth="1"/>
    <x:col min="17" max="17" width="14" hidden="0" customWidth="1"/>
    <x:col min="18" max="18" width="15" hidden="0" customWidth="1"/>
    <x:col min="19" max="19" width="16" hidden="0" customWidth="1"/>
    <x:col min="20" max="20" width="13" hidden="0" customWidth="1"/>
    <x:col min="21" max="21" width="34" hidden="0" customWidth="1"/>
    <x:col min="22" max="22" width="14" hidden="0" customWidth="1"/>
    <x:col min="23" max="23" width="11" hidden="0" customWidth="1"/>
    <x:col min="24" max="24" width="20" hidden="0" customWidth="1"/>
    <x:col min="25" max="25" width="14" hidden="0" customWidth="1"/>
    <x:col min="26" max="26" width="25" hidden="0" customWidth="1"/>
    <x:col min="27" max="27" width="25" hidden="0" customWidth="1"/>
    <x:col min="28" max="28" width="40" hidden="0" customWidth="1"/>
  </x:cols>
  <x:sheetData>
    <x:row r="1" ht="32" customHeight="1">
      <x:c r="A1" s="4" t="str">
        <x:v>案例台账（每行一个业务案例）</x:v>
      </x:c>
      <x:c r="B1" s="4" t="str">
        <x:v>案例台账（每行一个业务案例）</x:v>
      </x:c>
      <x:c r="C1" s="4" t="str">
        <x:v>案例台账（每行一个业务案例）</x:v>
      </x:c>
      <x:c r="D1" s="4" t="str">
        <x:v>案例台账（每行一个业务案例）</x:v>
      </x:c>
      <x:c r="E1" s="4" t="str">
        <x:v>案例台账（每行一个业务案例）</x:v>
      </x:c>
      <x:c r="F1" s="4" t="str">
        <x:v>案例台账（每行一个业务案例）</x:v>
      </x:c>
      <x:c r="G1" s="4" t="str">
        <x:v>案例台账（每行一个业务案例）</x:v>
      </x:c>
      <x:c r="H1" s="4" t="str">
        <x:v>案例台账（每行一个业务案例）</x:v>
      </x:c>
      <x:c r="I1" s="4" t="str">
        <x:v>案例台账（每行一个业务案例）</x:v>
      </x:c>
      <x:c r="J1" s="4" t="str">
        <x:v>案例台账（每行一个业务案例）</x:v>
      </x:c>
      <x:c r="K1" s="4" t="str">
        <x:v>案例台账（每行一个业务案例）</x:v>
      </x:c>
      <x:c r="L1" s="4" t="str">
        <x:v>案例台账（每行一个业务案例）</x:v>
      </x:c>
      <x:c r="M1" s="4" t="str">
        <x:v>案例台账（每行一个业务案例）</x:v>
      </x:c>
      <x:c r="N1" s="4" t="str">
        <x:v>案例台账（每行一个业务案例）</x:v>
      </x:c>
      <x:c r="O1" s="4" t="str">
        <x:v>案例台账（每行一个业务案例）</x:v>
      </x:c>
      <x:c r="P1" s="4" t="str">
        <x:v>案例台账（每行一个业务案例）</x:v>
      </x:c>
      <x:c r="Q1" s="4" t="str">
        <x:v>案例台账（每行一个业务案例）</x:v>
      </x:c>
      <x:c r="R1" s="4" t="str">
        <x:v>案例台账（每行一个业务案例）</x:v>
      </x:c>
      <x:c r="S1" s="4" t="str">
        <x:v>案例台账（每行一个业务案例）</x:v>
      </x:c>
      <x:c r="T1" s="4" t="str">
        <x:v>案例台账（每行一个业务案例）</x:v>
      </x:c>
      <x:c r="U1" s="4" t="str">
        <x:v>案例台账（每行一个业务案例）</x:v>
      </x:c>
      <x:c r="V1" s="4" t="str">
        <x:v>案例台账（每行一个业务案例）</x:v>
      </x:c>
      <x:c r="W1" s="4" t="str">
        <x:v>案例台账（每行一个业务案例）</x:v>
      </x:c>
      <x:c r="X1" s="4" t="str">
        <x:v>案例台账（每行一个业务案例）</x:v>
      </x:c>
      <x:c r="Y1" s="4" t="str">
        <x:v>案例台账（每行一个业务案例）</x:v>
      </x:c>
      <x:c r="Z1" s="4" t="str">
        <x:v>案例台账（每行一个业务案例）</x:v>
      </x:c>
      <x:c r="AA1" s="4" t="str">
        <x:v>案例台账（每行一个业务案例）</x:v>
      </x:c>
      <x:c r="AB1" s="4" t="str">
        <x:v>案例台账（每行一个业务案例）</x:v>
      </x:c>
    </x:row>
    <x:row r="3" ht="30" customHeight="1">
      <x:c r="A3" s="13" t="str">
        <x:v>案例编号</x:v>
      </x:c>
      <x:c r="B3" s="13" t="str">
        <x:v>文件名/文件组合</x:v>
      </x:c>
      <x:c r="C3" s="13" t="str">
        <x:v>文件类型</x:v>
      </x:c>
      <x:c r="D3" s="13" t="str">
        <x:v>业务类型</x:v>
      </x:c>
      <x:c r="E3" s="13" t="str">
        <x:v>文件特征</x:v>
      </x:c>
      <x:c r="F3" s="13" t="str">
        <x:v>含敏感信息</x:v>
      </x:c>
      <x:c r="G3" s="13" t="str">
        <x:v>业务审核人</x:v>
      </x:c>
      <x:c r="H3" s="13" t="str">
        <x:v>计划模式</x:v>
      </x:c>
      <x:c r="I3" s="13" t="str">
        <x:v>金标状态</x:v>
      </x:c>
      <x:c r="J3" s="13" t="str">
        <x:v>Standard Task ID</x:v>
      </x:c>
      <x:c r="K3" s="13" t="str">
        <x:v>Standard状态</x:v>
      </x:c>
      <x:c r="L3" s="13" t="str">
        <x:v>Standard耗时ms</x:v>
      </x:c>
      <x:c r="M3" s="13" t="str">
        <x:v>Standard视觉页数</x:v>
      </x:c>
      <x:c r="N3" s="13" t="str">
        <x:v>Standard扣费</x:v>
      </x:c>
      <x:c r="O3" s="13" t="str">
        <x:v>Standard结果路径</x:v>
      </x:c>
      <x:c r="P3" s="13" t="str">
        <x:v>High Task ID</x:v>
      </x:c>
      <x:c r="Q3" s="13" t="str">
        <x:v>High状态</x:v>
      </x:c>
      <x:c r="R3" s="13" t="str">
        <x:v>High耗时ms</x:v>
      </x:c>
      <x:c r="S3" s="13" t="str">
        <x:v>High视觉页数</x:v>
      </x:c>
      <x:c r="T3" s="13" t="str">
        <x:v>High扣费</x:v>
      </x:c>
      <x:c r="U3" s="13" t="str">
        <x:v>High结果路径</x:v>
      </x:c>
      <x:c r="V3" s="13" t="str">
        <x:v>业务结论</x:v>
      </x:c>
      <x:c r="W3" s="13" t="str">
        <x:v>问题等级</x:v>
      </x:c>
      <x:c r="X3" s="13" t="str">
        <x:v>主要归因</x:v>
      </x:c>
      <x:c r="Y3" s="13" t="str">
        <x:v>已提交反馈</x:v>
      </x:c>
      <x:c r="Z3" s="13" t="str">
        <x:v>反馈ID</x:v>
      </x:c>
      <x:c r="AA3" s="13" t="str">
        <x:v>复测Task ID</x:v>
      </x:c>
      <x:c r="AB3" s="13" t="str">
        <x:v>备注</x:v>
      </x:c>
    </x:row>
    <x:row r="4">
      <x:c r="A4" s="46" t="str">
        <x:v>YY-001</x:v>
      </x:c>
      <x:c r="B4" s="19"/>
      <x:c r="C4" s="19"/>
      <x:c r="D4" s="19"/>
      <x:c r="E4" s="19"/>
      <x:c r="F4" s="19"/>
      <x:c r="G4" s="19"/>
      <x:c r="H4" s="19" t="str">
        <x:v>standard</x:v>
      </x:c>
      <x:c r="I4" s="19" t="str">
        <x:v>草稿</x:v>
      </x:c>
      <x:c r="J4" s="19"/>
      <x:c r="K4" s="19" t="str">
        <x:v>未运行</x:v>
      </x:c>
      <x:c r="L4" s="52"/>
      <x:c r="M4" s="52"/>
      <x:c r="N4" s="54"/>
      <x:c r="O4" s="19"/>
      <x:c r="P4" s="19"/>
      <x:c r="Q4" s="19" t="str">
        <x:v>未运行</x:v>
      </x:c>
      <x:c r="R4" s="52"/>
      <x:c r="S4" s="52"/>
      <x:c r="T4" s="54"/>
      <x:c r="U4" s="19"/>
      <x:c r="V4" s="19" t="str">
        <x:v>待核对</x:v>
      </x:c>
      <x:c r="W4" s="19"/>
      <x:c r="X4" s="19"/>
      <x:c r="Y4" s="19" t="str">
        <x:v>否</x:v>
      </x:c>
      <x:c r="Z4" s="19"/>
      <x:c r="AA4" s="19"/>
      <x:c r="AB4" s="19"/>
    </x:row>
    <x:row r="5">
      <x:c r="A5" s="47" t="str">
        <x:v>YY-002</x:v>
      </x:c>
      <x:c r="B5" s="20"/>
      <x:c r="C5" s="20"/>
      <x:c r="D5" s="20"/>
      <x:c r="E5" s="20"/>
      <x:c r="F5" s="20"/>
      <x:c r="G5" s="20"/>
      <x:c r="H5" s="20" t="str">
        <x:v>standard</x:v>
      </x:c>
      <x:c r="I5" s="20" t="str">
        <x:v>草稿</x:v>
      </x:c>
      <x:c r="J5" s="20"/>
      <x:c r="K5" s="20" t="str">
        <x:v>未运行</x:v>
      </x:c>
      <x:c r="L5" s="53"/>
      <x:c r="M5" s="53"/>
      <x:c r="N5" s="55"/>
      <x:c r="O5" s="20"/>
      <x:c r="P5" s="20"/>
      <x:c r="Q5" s="20" t="str">
        <x:v>未运行</x:v>
      </x:c>
      <x:c r="R5" s="53"/>
      <x:c r="S5" s="53"/>
      <x:c r="T5" s="55"/>
      <x:c r="U5" s="20"/>
      <x:c r="V5" s="20" t="str">
        <x:v>待核对</x:v>
      </x:c>
      <x:c r="W5" s="20"/>
      <x:c r="X5" s="20"/>
      <x:c r="Y5" s="20" t="str">
        <x:v>否</x:v>
      </x:c>
      <x:c r="Z5" s="20"/>
      <x:c r="AA5" s="20"/>
      <x:c r="AB5" s="20"/>
    </x:row>
    <x:row r="6">
      <x:c r="A6" s="47" t="str">
        <x:v>YY-003</x:v>
      </x:c>
      <x:c r="B6" s="20"/>
      <x:c r="C6" s="20"/>
      <x:c r="D6" s="20"/>
      <x:c r="E6" s="20"/>
      <x:c r="F6" s="20"/>
      <x:c r="G6" s="20"/>
      <x:c r="H6" s="20" t="str">
        <x:v>standard</x:v>
      </x:c>
      <x:c r="I6" s="20" t="str">
        <x:v>草稿</x:v>
      </x:c>
      <x:c r="J6" s="20"/>
      <x:c r="K6" s="20" t="str">
        <x:v>未运行</x:v>
      </x:c>
      <x:c r="L6" s="53"/>
      <x:c r="M6" s="53"/>
      <x:c r="N6" s="55"/>
      <x:c r="O6" s="20"/>
      <x:c r="P6" s="20"/>
      <x:c r="Q6" s="20" t="str">
        <x:v>未运行</x:v>
      </x:c>
      <x:c r="R6" s="53"/>
      <x:c r="S6" s="53"/>
      <x:c r="T6" s="55"/>
      <x:c r="U6" s="20"/>
      <x:c r="V6" s="20" t="str">
        <x:v>待核对</x:v>
      </x:c>
      <x:c r="W6" s="20"/>
      <x:c r="X6" s="20"/>
      <x:c r="Y6" s="20" t="str">
        <x:v>否</x:v>
      </x:c>
      <x:c r="Z6" s="20"/>
      <x:c r="AA6" s="20"/>
      <x:c r="AB6" s="20"/>
    </x:row>
    <x:row r="7">
      <x:c r="A7" s="47" t="str">
        <x:v>YY-004</x:v>
      </x:c>
      <x:c r="B7" s="20"/>
      <x:c r="C7" s="20"/>
      <x:c r="D7" s="20"/>
      <x:c r="E7" s="20"/>
      <x:c r="F7" s="20"/>
      <x:c r="G7" s="20"/>
      <x:c r="H7" s="20" t="str">
        <x:v>standard</x:v>
      </x:c>
      <x:c r="I7" s="20" t="str">
        <x:v>草稿</x:v>
      </x:c>
      <x:c r="J7" s="20"/>
      <x:c r="K7" s="20" t="str">
        <x:v>未运行</x:v>
      </x:c>
      <x:c r="L7" s="53"/>
      <x:c r="M7" s="53"/>
      <x:c r="N7" s="55"/>
      <x:c r="O7" s="20"/>
      <x:c r="P7" s="20"/>
      <x:c r="Q7" s="20" t="str">
        <x:v>未运行</x:v>
      </x:c>
      <x:c r="R7" s="53"/>
      <x:c r="S7" s="53"/>
      <x:c r="T7" s="55"/>
      <x:c r="U7" s="20"/>
      <x:c r="V7" s="20" t="str">
        <x:v>待核对</x:v>
      </x:c>
      <x:c r="W7" s="20"/>
      <x:c r="X7" s="20"/>
      <x:c r="Y7" s="20" t="str">
        <x:v>否</x:v>
      </x:c>
      <x:c r="Z7" s="20"/>
      <x:c r="AA7" s="20"/>
      <x:c r="AB7" s="20"/>
    </x:row>
    <x:row r="8">
      <x:c r="A8" s="47" t="str">
        <x:v>YY-005</x:v>
      </x:c>
      <x:c r="B8" s="20"/>
      <x:c r="C8" s="20"/>
      <x:c r="D8" s="20"/>
      <x:c r="E8" s="20"/>
      <x:c r="F8" s="20"/>
      <x:c r="G8" s="20"/>
      <x:c r="H8" s="20" t="str">
        <x:v>standard</x:v>
      </x:c>
      <x:c r="I8" s="20" t="str">
        <x:v>草稿</x:v>
      </x:c>
      <x:c r="J8" s="20"/>
      <x:c r="K8" s="20" t="str">
        <x:v>未运行</x:v>
      </x:c>
      <x:c r="L8" s="53"/>
      <x:c r="M8" s="53"/>
      <x:c r="N8" s="55"/>
      <x:c r="O8" s="20"/>
      <x:c r="P8" s="20"/>
      <x:c r="Q8" s="20" t="str">
        <x:v>未运行</x:v>
      </x:c>
      <x:c r="R8" s="53"/>
      <x:c r="S8" s="53"/>
      <x:c r="T8" s="55"/>
      <x:c r="U8" s="20"/>
      <x:c r="V8" s="20" t="str">
        <x:v>待核对</x:v>
      </x:c>
      <x:c r="W8" s="20"/>
      <x:c r="X8" s="20"/>
      <x:c r="Y8" s="20" t="str">
        <x:v>否</x:v>
      </x:c>
      <x:c r="Z8" s="20"/>
      <x:c r="AA8" s="20"/>
      <x:c r="AB8" s="20"/>
    </x:row>
    <x:row r="9">
      <x:c r="A9" s="47" t="str">
        <x:v>YY-006</x:v>
      </x:c>
      <x:c r="B9" s="20"/>
      <x:c r="C9" s="20"/>
      <x:c r="D9" s="20"/>
      <x:c r="E9" s="20"/>
      <x:c r="F9" s="20"/>
      <x:c r="G9" s="20"/>
      <x:c r="H9" s="20" t="str">
        <x:v>standard</x:v>
      </x:c>
      <x:c r="I9" s="20" t="str">
        <x:v>草稿</x:v>
      </x:c>
      <x:c r="J9" s="20"/>
      <x:c r="K9" s="20" t="str">
        <x:v>未运行</x:v>
      </x:c>
      <x:c r="L9" s="53"/>
      <x:c r="M9" s="53"/>
      <x:c r="N9" s="55"/>
      <x:c r="O9" s="20"/>
      <x:c r="P9" s="20"/>
      <x:c r="Q9" s="20" t="str">
        <x:v>未运行</x:v>
      </x:c>
      <x:c r="R9" s="53"/>
      <x:c r="S9" s="53"/>
      <x:c r="T9" s="55"/>
      <x:c r="U9" s="20"/>
      <x:c r="V9" s="20" t="str">
        <x:v>待核对</x:v>
      </x:c>
      <x:c r="W9" s="20"/>
      <x:c r="X9" s="20"/>
      <x:c r="Y9" s="20" t="str">
        <x:v>否</x:v>
      </x:c>
      <x:c r="Z9" s="20"/>
      <x:c r="AA9" s="20"/>
      <x:c r="AB9" s="20"/>
    </x:row>
    <x:row r="10">
      <x:c r="A10" s="47" t="str">
        <x:v>YY-007</x:v>
      </x:c>
      <x:c r="B10" s="20"/>
      <x:c r="C10" s="20"/>
      <x:c r="D10" s="20"/>
      <x:c r="E10" s="20"/>
      <x:c r="F10" s="20"/>
      <x:c r="G10" s="20"/>
      <x:c r="H10" s="20" t="str">
        <x:v>standard</x:v>
      </x:c>
      <x:c r="I10" s="20" t="str">
        <x:v>草稿</x:v>
      </x:c>
      <x:c r="J10" s="20"/>
      <x:c r="K10" s="20" t="str">
        <x:v>未运行</x:v>
      </x:c>
      <x:c r="L10" s="53"/>
      <x:c r="M10" s="53"/>
      <x:c r="N10" s="55"/>
      <x:c r="O10" s="20"/>
      <x:c r="P10" s="20"/>
      <x:c r="Q10" s="20" t="str">
        <x:v>未运行</x:v>
      </x:c>
      <x:c r="R10" s="53"/>
      <x:c r="S10" s="53"/>
      <x:c r="T10" s="55"/>
      <x:c r="U10" s="20"/>
      <x:c r="V10" s="20" t="str">
        <x:v>待核对</x:v>
      </x:c>
      <x:c r="W10" s="20"/>
      <x:c r="X10" s="20"/>
      <x:c r="Y10" s="20" t="str">
        <x:v>否</x:v>
      </x:c>
      <x:c r="Z10" s="20"/>
      <x:c r="AA10" s="20"/>
      <x:c r="AB10" s="20"/>
    </x:row>
    <x:row r="11">
      <x:c r="A11" s="47" t="str">
        <x:v>YY-008</x:v>
      </x:c>
      <x:c r="B11" s="20"/>
      <x:c r="C11" s="20"/>
      <x:c r="D11" s="20"/>
      <x:c r="E11" s="20"/>
      <x:c r="F11" s="20"/>
      <x:c r="G11" s="20"/>
      <x:c r="H11" s="20" t="str">
        <x:v>standard</x:v>
      </x:c>
      <x:c r="I11" s="20" t="str">
        <x:v>草稿</x:v>
      </x:c>
      <x:c r="J11" s="20"/>
      <x:c r="K11" s="20" t="str">
        <x:v>未运行</x:v>
      </x:c>
      <x:c r="L11" s="53"/>
      <x:c r="M11" s="53"/>
      <x:c r="N11" s="55"/>
      <x:c r="O11" s="20"/>
      <x:c r="P11" s="20"/>
      <x:c r="Q11" s="20" t="str">
        <x:v>未运行</x:v>
      </x:c>
      <x:c r="R11" s="53"/>
      <x:c r="S11" s="53"/>
      <x:c r="T11" s="55"/>
      <x:c r="U11" s="20"/>
      <x:c r="V11" s="20" t="str">
        <x:v>待核对</x:v>
      </x:c>
      <x:c r="W11" s="20"/>
      <x:c r="X11" s="20"/>
      <x:c r="Y11" s="20" t="str">
        <x:v>否</x:v>
      </x:c>
      <x:c r="Z11" s="20"/>
      <x:c r="AA11" s="20"/>
      <x:c r="AB11" s="20"/>
    </x:row>
    <x:row r="12">
      <x:c r="A12" s="47" t="str">
        <x:v>YY-009</x:v>
      </x:c>
      <x:c r="B12" s="20"/>
      <x:c r="C12" s="20"/>
      <x:c r="D12" s="20"/>
      <x:c r="E12" s="20"/>
      <x:c r="F12" s="20"/>
      <x:c r="G12" s="20"/>
      <x:c r="H12" s="20" t="str">
        <x:v>standard</x:v>
      </x:c>
      <x:c r="I12" s="20" t="str">
        <x:v>草稿</x:v>
      </x:c>
      <x:c r="J12" s="20"/>
      <x:c r="K12" s="20" t="str">
        <x:v>未运行</x:v>
      </x:c>
      <x:c r="L12" s="53"/>
      <x:c r="M12" s="53"/>
      <x:c r="N12" s="55"/>
      <x:c r="O12" s="20"/>
      <x:c r="P12" s="20"/>
      <x:c r="Q12" s="20" t="str">
        <x:v>未运行</x:v>
      </x:c>
      <x:c r="R12" s="53"/>
      <x:c r="S12" s="53"/>
      <x:c r="T12" s="55"/>
      <x:c r="U12" s="20"/>
      <x:c r="V12" s="20" t="str">
        <x:v>待核对</x:v>
      </x:c>
      <x:c r="W12" s="20"/>
      <x:c r="X12" s="20"/>
      <x:c r="Y12" s="20" t="str">
        <x:v>否</x:v>
      </x:c>
      <x:c r="Z12" s="20"/>
      <x:c r="AA12" s="20"/>
      <x:c r="AB12" s="20"/>
    </x:row>
    <x:row r="13">
      <x:c r="A13" s="47" t="str">
        <x:v>YY-010</x:v>
      </x:c>
      <x:c r="B13" s="20"/>
      <x:c r="C13" s="20"/>
      <x:c r="D13" s="20"/>
      <x:c r="E13" s="20"/>
      <x:c r="F13" s="20"/>
      <x:c r="G13" s="20"/>
      <x:c r="H13" s="20" t="str">
        <x:v>standard</x:v>
      </x:c>
      <x:c r="I13" s="20" t="str">
        <x:v>草稿</x:v>
      </x:c>
      <x:c r="J13" s="20"/>
      <x:c r="K13" s="20" t="str">
        <x:v>未运行</x:v>
      </x:c>
      <x:c r="L13" s="53"/>
      <x:c r="M13" s="53"/>
      <x:c r="N13" s="55"/>
      <x:c r="O13" s="20"/>
      <x:c r="P13" s="20"/>
      <x:c r="Q13" s="20" t="str">
        <x:v>未运行</x:v>
      </x:c>
      <x:c r="R13" s="53"/>
      <x:c r="S13" s="53"/>
      <x:c r="T13" s="55"/>
      <x:c r="U13" s="20"/>
      <x:c r="V13" s="20" t="str">
        <x:v>待核对</x:v>
      </x:c>
      <x:c r="W13" s="20"/>
      <x:c r="X13" s="20"/>
      <x:c r="Y13" s="20" t="str">
        <x:v>否</x:v>
      </x:c>
      <x:c r="Z13" s="20"/>
      <x:c r="AA13" s="20"/>
      <x:c r="AB13" s="20"/>
    </x:row>
    <x:row r="14">
      <x:c r="A14" s="47" t="str">
        <x:v>YY-011</x:v>
      </x:c>
      <x:c r="B14" s="20"/>
      <x:c r="C14" s="20"/>
      <x:c r="D14" s="20"/>
      <x:c r="E14" s="20"/>
      <x:c r="F14" s="20"/>
      <x:c r="G14" s="20"/>
      <x:c r="H14" s="20" t="str">
        <x:v>standard</x:v>
      </x:c>
      <x:c r="I14" s="20" t="str">
        <x:v>草稿</x:v>
      </x:c>
      <x:c r="J14" s="20"/>
      <x:c r="K14" s="20" t="str">
        <x:v>未运行</x:v>
      </x:c>
      <x:c r="L14" s="53"/>
      <x:c r="M14" s="53"/>
      <x:c r="N14" s="55"/>
      <x:c r="O14" s="20"/>
      <x:c r="P14" s="20"/>
      <x:c r="Q14" s="20" t="str">
        <x:v>未运行</x:v>
      </x:c>
      <x:c r="R14" s="53"/>
      <x:c r="S14" s="53"/>
      <x:c r="T14" s="55"/>
      <x:c r="U14" s="20"/>
      <x:c r="V14" s="20" t="str">
        <x:v>待核对</x:v>
      </x:c>
      <x:c r="W14" s="20"/>
      <x:c r="X14" s="20"/>
      <x:c r="Y14" s="20" t="str">
        <x:v>否</x:v>
      </x:c>
      <x:c r="Z14" s="20"/>
      <x:c r="AA14" s="20"/>
      <x:c r="AB14" s="20"/>
    </x:row>
    <x:row r="15">
      <x:c r="A15" s="47" t="str">
        <x:v>YY-012</x:v>
      </x:c>
      <x:c r="B15" s="20"/>
      <x:c r="C15" s="20"/>
      <x:c r="D15" s="20"/>
      <x:c r="E15" s="20"/>
      <x:c r="F15" s="20"/>
      <x:c r="G15" s="20"/>
      <x:c r="H15" s="20" t="str">
        <x:v>standard</x:v>
      </x:c>
      <x:c r="I15" s="20" t="str">
        <x:v>草稿</x:v>
      </x:c>
      <x:c r="J15" s="20"/>
      <x:c r="K15" s="20" t="str">
        <x:v>未运行</x:v>
      </x:c>
      <x:c r="L15" s="53"/>
      <x:c r="M15" s="53"/>
      <x:c r="N15" s="55"/>
      <x:c r="O15" s="20"/>
      <x:c r="P15" s="20"/>
      <x:c r="Q15" s="20" t="str">
        <x:v>未运行</x:v>
      </x:c>
      <x:c r="R15" s="53"/>
      <x:c r="S15" s="53"/>
      <x:c r="T15" s="55"/>
      <x:c r="U15" s="20"/>
      <x:c r="V15" s="20" t="str">
        <x:v>待核对</x:v>
      </x:c>
      <x:c r="W15" s="20"/>
      <x:c r="X15" s="20"/>
      <x:c r="Y15" s="20" t="str">
        <x:v>否</x:v>
      </x:c>
      <x:c r="Z15" s="20"/>
      <x:c r="AA15" s="20"/>
      <x:c r="AB15" s="20"/>
    </x:row>
    <x:row r="16">
      <x:c r="A16" s="47" t="str">
        <x:v>YY-013</x:v>
      </x:c>
      <x:c r="B16" s="20"/>
      <x:c r="C16" s="20"/>
      <x:c r="D16" s="20"/>
      <x:c r="E16" s="20"/>
      <x:c r="F16" s="20"/>
      <x:c r="G16" s="20"/>
      <x:c r="H16" s="20" t="str">
        <x:v>standard</x:v>
      </x:c>
      <x:c r="I16" s="20" t="str">
        <x:v>草稿</x:v>
      </x:c>
      <x:c r="J16" s="20"/>
      <x:c r="K16" s="20" t="str">
        <x:v>未运行</x:v>
      </x:c>
      <x:c r="L16" s="53"/>
      <x:c r="M16" s="53"/>
      <x:c r="N16" s="55"/>
      <x:c r="O16" s="20"/>
      <x:c r="P16" s="20"/>
      <x:c r="Q16" s="20" t="str">
        <x:v>未运行</x:v>
      </x:c>
      <x:c r="R16" s="53"/>
      <x:c r="S16" s="53"/>
      <x:c r="T16" s="55"/>
      <x:c r="U16" s="20"/>
      <x:c r="V16" s="20" t="str">
        <x:v>待核对</x:v>
      </x:c>
      <x:c r="W16" s="20"/>
      <x:c r="X16" s="20"/>
      <x:c r="Y16" s="20" t="str">
        <x:v>否</x:v>
      </x:c>
      <x:c r="Z16" s="20"/>
      <x:c r="AA16" s="20"/>
      <x:c r="AB16" s="20"/>
    </x:row>
    <x:row r="17">
      <x:c r="A17" s="47" t="str">
        <x:v>YY-014</x:v>
      </x:c>
      <x:c r="B17" s="20"/>
      <x:c r="C17" s="20"/>
      <x:c r="D17" s="20"/>
      <x:c r="E17" s="20"/>
      <x:c r="F17" s="20"/>
      <x:c r="G17" s="20"/>
      <x:c r="H17" s="20" t="str">
        <x:v>standard</x:v>
      </x:c>
      <x:c r="I17" s="20" t="str">
        <x:v>草稿</x:v>
      </x:c>
      <x:c r="J17" s="20"/>
      <x:c r="K17" s="20" t="str">
        <x:v>未运行</x:v>
      </x:c>
      <x:c r="L17" s="53"/>
      <x:c r="M17" s="53"/>
      <x:c r="N17" s="55"/>
      <x:c r="O17" s="20"/>
      <x:c r="P17" s="20"/>
      <x:c r="Q17" s="20" t="str">
        <x:v>未运行</x:v>
      </x:c>
      <x:c r="R17" s="53"/>
      <x:c r="S17" s="53"/>
      <x:c r="T17" s="55"/>
      <x:c r="U17" s="20"/>
      <x:c r="V17" s="20" t="str">
        <x:v>待核对</x:v>
      </x:c>
      <x:c r="W17" s="20"/>
      <x:c r="X17" s="20"/>
      <x:c r="Y17" s="20" t="str">
        <x:v>否</x:v>
      </x:c>
      <x:c r="Z17" s="20"/>
      <x:c r="AA17" s="20"/>
      <x:c r="AB17" s="20"/>
    </x:row>
    <x:row r="18">
      <x:c r="A18" s="47" t="str">
        <x:v>YY-015</x:v>
      </x:c>
      <x:c r="B18" s="20"/>
      <x:c r="C18" s="20"/>
      <x:c r="D18" s="20"/>
      <x:c r="E18" s="20"/>
      <x:c r="F18" s="20"/>
      <x:c r="G18" s="20"/>
      <x:c r="H18" s="20" t="str">
        <x:v>standard</x:v>
      </x:c>
      <x:c r="I18" s="20" t="str">
        <x:v>草稿</x:v>
      </x:c>
      <x:c r="J18" s="20"/>
      <x:c r="K18" s="20" t="str">
        <x:v>未运行</x:v>
      </x:c>
      <x:c r="L18" s="53"/>
      <x:c r="M18" s="53"/>
      <x:c r="N18" s="55"/>
      <x:c r="O18" s="20"/>
      <x:c r="P18" s="20"/>
      <x:c r="Q18" s="20" t="str">
        <x:v>未运行</x:v>
      </x:c>
      <x:c r="R18" s="53"/>
      <x:c r="S18" s="53"/>
      <x:c r="T18" s="55"/>
      <x:c r="U18" s="20"/>
      <x:c r="V18" s="20" t="str">
        <x:v>待核对</x:v>
      </x:c>
      <x:c r="W18" s="20"/>
      <x:c r="X18" s="20"/>
      <x:c r="Y18" s="20" t="str">
        <x:v>否</x:v>
      </x:c>
      <x:c r="Z18" s="20"/>
      <x:c r="AA18" s="20"/>
      <x:c r="AB18" s="20"/>
    </x:row>
    <x:row r="19">
      <x:c r="A19" s="47" t="str">
        <x:v>YY-016</x:v>
      </x:c>
      <x:c r="B19" s="20"/>
      <x:c r="C19" s="20"/>
      <x:c r="D19" s="20"/>
      <x:c r="E19" s="20"/>
      <x:c r="F19" s="20"/>
      <x:c r="G19" s="20"/>
      <x:c r="H19" s="20" t="str">
        <x:v>standard</x:v>
      </x:c>
      <x:c r="I19" s="20" t="str">
        <x:v>草稿</x:v>
      </x:c>
      <x:c r="J19" s="20"/>
      <x:c r="K19" s="20" t="str">
        <x:v>未运行</x:v>
      </x:c>
      <x:c r="L19" s="53"/>
      <x:c r="M19" s="53"/>
      <x:c r="N19" s="55"/>
      <x:c r="O19" s="20"/>
      <x:c r="P19" s="20"/>
      <x:c r="Q19" s="20" t="str">
        <x:v>未运行</x:v>
      </x:c>
      <x:c r="R19" s="53"/>
      <x:c r="S19" s="53"/>
      <x:c r="T19" s="55"/>
      <x:c r="U19" s="20"/>
      <x:c r="V19" s="20" t="str">
        <x:v>待核对</x:v>
      </x:c>
      <x:c r="W19" s="20"/>
      <x:c r="X19" s="20"/>
      <x:c r="Y19" s="20" t="str">
        <x:v>否</x:v>
      </x:c>
      <x:c r="Z19" s="20"/>
      <x:c r="AA19" s="20"/>
      <x:c r="AB19" s="20"/>
    </x:row>
    <x:row r="20">
      <x:c r="A20" s="47" t="str">
        <x:v>YY-017</x:v>
      </x:c>
      <x:c r="B20" s="20"/>
      <x:c r="C20" s="20"/>
      <x:c r="D20" s="20"/>
      <x:c r="E20" s="20"/>
      <x:c r="F20" s="20"/>
      <x:c r="G20" s="20"/>
      <x:c r="H20" s="20" t="str">
        <x:v>standard</x:v>
      </x:c>
      <x:c r="I20" s="20" t="str">
        <x:v>草稿</x:v>
      </x:c>
      <x:c r="J20" s="20"/>
      <x:c r="K20" s="20" t="str">
        <x:v>未运行</x:v>
      </x:c>
      <x:c r="L20" s="53"/>
      <x:c r="M20" s="53"/>
      <x:c r="N20" s="55"/>
      <x:c r="O20" s="20"/>
      <x:c r="P20" s="20"/>
      <x:c r="Q20" s="20" t="str">
        <x:v>未运行</x:v>
      </x:c>
      <x:c r="R20" s="53"/>
      <x:c r="S20" s="53"/>
      <x:c r="T20" s="55"/>
      <x:c r="U20" s="20"/>
      <x:c r="V20" s="20" t="str">
        <x:v>待核对</x:v>
      </x:c>
      <x:c r="W20" s="20"/>
      <x:c r="X20" s="20"/>
      <x:c r="Y20" s="20" t="str">
        <x:v>否</x:v>
      </x:c>
      <x:c r="Z20" s="20"/>
      <x:c r="AA20" s="20"/>
      <x:c r="AB20" s="20"/>
    </x:row>
    <x:row r="21">
      <x:c r="A21" s="47" t="str">
        <x:v>YY-018</x:v>
      </x:c>
      <x:c r="B21" s="20"/>
      <x:c r="C21" s="20"/>
      <x:c r="D21" s="20"/>
      <x:c r="E21" s="20"/>
      <x:c r="F21" s="20"/>
      <x:c r="G21" s="20"/>
      <x:c r="H21" s="20" t="str">
        <x:v>standard</x:v>
      </x:c>
      <x:c r="I21" s="20" t="str">
        <x:v>草稿</x:v>
      </x:c>
      <x:c r="J21" s="20"/>
      <x:c r="K21" s="20" t="str">
        <x:v>未运行</x:v>
      </x:c>
      <x:c r="L21" s="53"/>
      <x:c r="M21" s="53"/>
      <x:c r="N21" s="55"/>
      <x:c r="O21" s="20"/>
      <x:c r="P21" s="20"/>
      <x:c r="Q21" s="20" t="str">
        <x:v>未运行</x:v>
      </x:c>
      <x:c r="R21" s="53"/>
      <x:c r="S21" s="53"/>
      <x:c r="T21" s="55"/>
      <x:c r="U21" s="20"/>
      <x:c r="V21" s="20" t="str">
        <x:v>待核对</x:v>
      </x:c>
      <x:c r="W21" s="20"/>
      <x:c r="X21" s="20"/>
      <x:c r="Y21" s="20" t="str">
        <x:v>否</x:v>
      </x:c>
      <x:c r="Z21" s="20"/>
      <x:c r="AA21" s="20"/>
      <x:c r="AB21" s="20"/>
    </x:row>
    <x:row r="22">
      <x:c r="A22" s="47" t="str">
        <x:v>YY-019</x:v>
      </x:c>
      <x:c r="B22" s="20"/>
      <x:c r="C22" s="20"/>
      <x:c r="D22" s="20"/>
      <x:c r="E22" s="20"/>
      <x:c r="F22" s="20"/>
      <x:c r="G22" s="20"/>
      <x:c r="H22" s="20" t="str">
        <x:v>standard</x:v>
      </x:c>
      <x:c r="I22" s="20" t="str">
        <x:v>草稿</x:v>
      </x:c>
      <x:c r="J22" s="20"/>
      <x:c r="K22" s="20" t="str">
        <x:v>未运行</x:v>
      </x:c>
      <x:c r="L22" s="53"/>
      <x:c r="M22" s="53"/>
      <x:c r="N22" s="55"/>
      <x:c r="O22" s="20"/>
      <x:c r="P22" s="20"/>
      <x:c r="Q22" s="20" t="str">
        <x:v>未运行</x:v>
      </x:c>
      <x:c r="R22" s="53"/>
      <x:c r="S22" s="53"/>
      <x:c r="T22" s="55"/>
      <x:c r="U22" s="20"/>
      <x:c r="V22" s="20" t="str">
        <x:v>待核对</x:v>
      </x:c>
      <x:c r="W22" s="20"/>
      <x:c r="X22" s="20"/>
      <x:c r="Y22" s="20" t="str">
        <x:v>否</x:v>
      </x:c>
      <x:c r="Z22" s="20"/>
      <x:c r="AA22" s="20"/>
      <x:c r="AB22" s="20"/>
    </x:row>
    <x:row r="23">
      <x:c r="A23" s="47" t="str">
        <x:v>YY-020</x:v>
      </x:c>
      <x:c r="B23" s="20"/>
      <x:c r="C23" s="20"/>
      <x:c r="D23" s="20"/>
      <x:c r="E23" s="20"/>
      <x:c r="F23" s="20"/>
      <x:c r="G23" s="20"/>
      <x:c r="H23" s="20" t="str">
        <x:v>standard</x:v>
      </x:c>
      <x:c r="I23" s="20" t="str">
        <x:v>草稿</x:v>
      </x:c>
      <x:c r="J23" s="20"/>
      <x:c r="K23" s="20" t="str">
        <x:v>未运行</x:v>
      </x:c>
      <x:c r="L23" s="53"/>
      <x:c r="M23" s="53"/>
      <x:c r="N23" s="55"/>
      <x:c r="O23" s="20"/>
      <x:c r="P23" s="20"/>
      <x:c r="Q23" s="20" t="str">
        <x:v>未运行</x:v>
      </x:c>
      <x:c r="R23" s="53"/>
      <x:c r="S23" s="53"/>
      <x:c r="T23" s="55"/>
      <x:c r="U23" s="20"/>
      <x:c r="V23" s="20" t="str">
        <x:v>待核对</x:v>
      </x:c>
      <x:c r="W23" s="20"/>
      <x:c r="X23" s="20"/>
      <x:c r="Y23" s="20" t="str">
        <x:v>否</x:v>
      </x:c>
      <x:c r="Z23" s="20"/>
      <x:c r="AA23" s="20"/>
      <x:c r="AB23" s="20"/>
    </x:row>
    <x:row r="24">
      <x:c r="A24" s="47" t="str">
        <x:v>YY-021</x:v>
      </x:c>
      <x:c r="B24" s="20"/>
      <x:c r="C24" s="20"/>
      <x:c r="D24" s="20"/>
      <x:c r="E24" s="20"/>
      <x:c r="F24" s="20"/>
      <x:c r="G24" s="20"/>
      <x:c r="H24" s="20" t="str">
        <x:v>standard</x:v>
      </x:c>
      <x:c r="I24" s="20" t="str">
        <x:v>草稿</x:v>
      </x:c>
      <x:c r="J24" s="20"/>
      <x:c r="K24" s="20" t="str">
        <x:v>未运行</x:v>
      </x:c>
      <x:c r="L24" s="53"/>
      <x:c r="M24" s="53"/>
      <x:c r="N24" s="55"/>
      <x:c r="O24" s="20"/>
      <x:c r="P24" s="20"/>
      <x:c r="Q24" s="20" t="str">
        <x:v>未运行</x:v>
      </x:c>
      <x:c r="R24" s="53"/>
      <x:c r="S24" s="53"/>
      <x:c r="T24" s="55"/>
      <x:c r="U24" s="20"/>
      <x:c r="V24" s="20" t="str">
        <x:v>待核对</x:v>
      </x:c>
      <x:c r="W24" s="20"/>
      <x:c r="X24" s="20"/>
      <x:c r="Y24" s="20" t="str">
        <x:v>否</x:v>
      </x:c>
      <x:c r="Z24" s="20"/>
      <x:c r="AA24" s="20"/>
      <x:c r="AB24" s="20"/>
    </x:row>
    <x:row r="25">
      <x:c r="A25" s="47" t="str">
        <x:v>YY-022</x:v>
      </x:c>
      <x:c r="B25" s="20"/>
      <x:c r="C25" s="20"/>
      <x:c r="D25" s="20"/>
      <x:c r="E25" s="20"/>
      <x:c r="F25" s="20"/>
      <x:c r="G25" s="20"/>
      <x:c r="H25" s="20" t="str">
        <x:v>standard</x:v>
      </x:c>
      <x:c r="I25" s="20" t="str">
        <x:v>草稿</x:v>
      </x:c>
      <x:c r="J25" s="20"/>
      <x:c r="K25" s="20" t="str">
        <x:v>未运行</x:v>
      </x:c>
      <x:c r="L25" s="53"/>
      <x:c r="M25" s="53"/>
      <x:c r="N25" s="55"/>
      <x:c r="O25" s="20"/>
      <x:c r="P25" s="20"/>
      <x:c r="Q25" s="20" t="str">
        <x:v>未运行</x:v>
      </x:c>
      <x:c r="R25" s="53"/>
      <x:c r="S25" s="53"/>
      <x:c r="T25" s="55"/>
      <x:c r="U25" s="20"/>
      <x:c r="V25" s="20" t="str">
        <x:v>待核对</x:v>
      </x:c>
      <x:c r="W25" s="20"/>
      <x:c r="X25" s="20"/>
      <x:c r="Y25" s="20" t="str">
        <x:v>否</x:v>
      </x:c>
      <x:c r="Z25" s="20"/>
      <x:c r="AA25" s="20"/>
      <x:c r="AB25" s="20"/>
    </x:row>
    <x:row r="26">
      <x:c r="A26" s="47" t="str">
        <x:v>YY-023</x:v>
      </x:c>
      <x:c r="B26" s="20"/>
      <x:c r="C26" s="20"/>
      <x:c r="D26" s="20"/>
      <x:c r="E26" s="20"/>
      <x:c r="F26" s="20"/>
      <x:c r="G26" s="20"/>
      <x:c r="H26" s="20" t="str">
        <x:v>standard</x:v>
      </x:c>
      <x:c r="I26" s="20" t="str">
        <x:v>草稿</x:v>
      </x:c>
      <x:c r="J26" s="20"/>
      <x:c r="K26" s="20" t="str">
        <x:v>未运行</x:v>
      </x:c>
      <x:c r="L26" s="53"/>
      <x:c r="M26" s="53"/>
      <x:c r="N26" s="55"/>
      <x:c r="O26" s="20"/>
      <x:c r="P26" s="20"/>
      <x:c r="Q26" s="20" t="str">
        <x:v>未运行</x:v>
      </x:c>
      <x:c r="R26" s="53"/>
      <x:c r="S26" s="53"/>
      <x:c r="T26" s="55"/>
      <x:c r="U26" s="20"/>
      <x:c r="V26" s="20" t="str">
        <x:v>待核对</x:v>
      </x:c>
      <x:c r="W26" s="20"/>
      <x:c r="X26" s="20"/>
      <x:c r="Y26" s="20" t="str">
        <x:v>否</x:v>
      </x:c>
      <x:c r="Z26" s="20"/>
      <x:c r="AA26" s="20"/>
      <x:c r="AB26" s="20"/>
    </x:row>
    <x:row r="27">
      <x:c r="A27" s="47" t="str">
        <x:v>YY-024</x:v>
      </x:c>
      <x:c r="B27" s="20"/>
      <x:c r="C27" s="20"/>
      <x:c r="D27" s="20"/>
      <x:c r="E27" s="20"/>
      <x:c r="F27" s="20"/>
      <x:c r="G27" s="20"/>
      <x:c r="H27" s="20" t="str">
        <x:v>standard</x:v>
      </x:c>
      <x:c r="I27" s="20" t="str">
        <x:v>草稿</x:v>
      </x:c>
      <x:c r="J27" s="20"/>
      <x:c r="K27" s="20" t="str">
        <x:v>未运行</x:v>
      </x:c>
      <x:c r="L27" s="53"/>
      <x:c r="M27" s="53"/>
      <x:c r="N27" s="55"/>
      <x:c r="O27" s="20"/>
      <x:c r="P27" s="20"/>
      <x:c r="Q27" s="20" t="str">
        <x:v>未运行</x:v>
      </x:c>
      <x:c r="R27" s="53"/>
      <x:c r="S27" s="53"/>
      <x:c r="T27" s="55"/>
      <x:c r="U27" s="20"/>
      <x:c r="V27" s="20" t="str">
        <x:v>待核对</x:v>
      </x:c>
      <x:c r="W27" s="20"/>
      <x:c r="X27" s="20"/>
      <x:c r="Y27" s="20" t="str">
        <x:v>否</x:v>
      </x:c>
      <x:c r="Z27" s="20"/>
      <x:c r="AA27" s="20"/>
      <x:c r="AB27" s="20"/>
    </x:row>
    <x:row r="28">
      <x:c r="A28" s="47" t="str">
        <x:v>YY-025</x:v>
      </x:c>
      <x:c r="B28" s="20"/>
      <x:c r="C28" s="20"/>
      <x:c r="D28" s="20"/>
      <x:c r="E28" s="20"/>
      <x:c r="F28" s="20"/>
      <x:c r="G28" s="20"/>
      <x:c r="H28" s="20" t="str">
        <x:v>standard</x:v>
      </x:c>
      <x:c r="I28" s="20" t="str">
        <x:v>草稿</x:v>
      </x:c>
      <x:c r="J28" s="20"/>
      <x:c r="K28" s="20" t="str">
        <x:v>未运行</x:v>
      </x:c>
      <x:c r="L28" s="53"/>
      <x:c r="M28" s="53"/>
      <x:c r="N28" s="55"/>
      <x:c r="O28" s="20"/>
      <x:c r="P28" s="20"/>
      <x:c r="Q28" s="20" t="str">
        <x:v>未运行</x:v>
      </x:c>
      <x:c r="R28" s="53"/>
      <x:c r="S28" s="53"/>
      <x:c r="T28" s="55"/>
      <x:c r="U28" s="20"/>
      <x:c r="V28" s="20" t="str">
        <x:v>待核对</x:v>
      </x:c>
      <x:c r="W28" s="20"/>
      <x:c r="X28" s="20"/>
      <x:c r="Y28" s="20" t="str">
        <x:v>否</x:v>
      </x:c>
      <x:c r="Z28" s="20"/>
      <x:c r="AA28" s="20"/>
      <x:c r="AB28" s="20"/>
    </x:row>
    <x:row r="29">
      <x:c r="A29" s="47" t="str">
        <x:v>YY-026</x:v>
      </x:c>
      <x:c r="B29" s="20"/>
      <x:c r="C29" s="20"/>
      <x:c r="D29" s="20"/>
      <x:c r="E29" s="20"/>
      <x:c r="F29" s="20"/>
      <x:c r="G29" s="20"/>
      <x:c r="H29" s="20" t="str">
        <x:v>standard</x:v>
      </x:c>
      <x:c r="I29" s="20" t="str">
        <x:v>草稿</x:v>
      </x:c>
      <x:c r="J29" s="20"/>
      <x:c r="K29" s="20" t="str">
        <x:v>未运行</x:v>
      </x:c>
      <x:c r="L29" s="53"/>
      <x:c r="M29" s="53"/>
      <x:c r="N29" s="55"/>
      <x:c r="O29" s="20"/>
      <x:c r="P29" s="20"/>
      <x:c r="Q29" s="20" t="str">
        <x:v>未运行</x:v>
      </x:c>
      <x:c r="R29" s="53"/>
      <x:c r="S29" s="53"/>
      <x:c r="T29" s="55"/>
      <x:c r="U29" s="20"/>
      <x:c r="V29" s="20" t="str">
        <x:v>待核对</x:v>
      </x:c>
      <x:c r="W29" s="20"/>
      <x:c r="X29" s="20"/>
      <x:c r="Y29" s="20" t="str">
        <x:v>否</x:v>
      </x:c>
      <x:c r="Z29" s="20"/>
      <x:c r="AA29" s="20"/>
      <x:c r="AB29" s="20"/>
    </x:row>
    <x:row r="30">
      <x:c r="A30" s="47" t="str">
        <x:v>YY-027</x:v>
      </x:c>
      <x:c r="B30" s="20"/>
      <x:c r="C30" s="20"/>
      <x:c r="D30" s="20"/>
      <x:c r="E30" s="20"/>
      <x:c r="F30" s="20"/>
      <x:c r="G30" s="20"/>
      <x:c r="H30" s="20" t="str">
        <x:v>standard</x:v>
      </x:c>
      <x:c r="I30" s="20" t="str">
        <x:v>草稿</x:v>
      </x:c>
      <x:c r="J30" s="20"/>
      <x:c r="K30" s="20" t="str">
        <x:v>未运行</x:v>
      </x:c>
      <x:c r="L30" s="53"/>
      <x:c r="M30" s="53"/>
      <x:c r="N30" s="55"/>
      <x:c r="O30" s="20"/>
      <x:c r="P30" s="20"/>
      <x:c r="Q30" s="20" t="str">
        <x:v>未运行</x:v>
      </x:c>
      <x:c r="R30" s="53"/>
      <x:c r="S30" s="53"/>
      <x:c r="T30" s="55"/>
      <x:c r="U30" s="20"/>
      <x:c r="V30" s="20" t="str">
        <x:v>待核对</x:v>
      </x:c>
      <x:c r="W30" s="20"/>
      <x:c r="X30" s="20"/>
      <x:c r="Y30" s="20" t="str">
        <x:v>否</x:v>
      </x:c>
      <x:c r="Z30" s="20"/>
      <x:c r="AA30" s="20"/>
      <x:c r="AB30" s="20"/>
    </x:row>
    <x:row r="31">
      <x:c r="A31" s="47" t="str">
        <x:v>YY-028</x:v>
      </x:c>
      <x:c r="B31" s="20"/>
      <x:c r="C31" s="20"/>
      <x:c r="D31" s="20"/>
      <x:c r="E31" s="20"/>
      <x:c r="F31" s="20"/>
      <x:c r="G31" s="20"/>
      <x:c r="H31" s="20" t="str">
        <x:v>standard</x:v>
      </x:c>
      <x:c r="I31" s="20" t="str">
        <x:v>草稿</x:v>
      </x:c>
      <x:c r="J31" s="20"/>
      <x:c r="K31" s="20" t="str">
        <x:v>未运行</x:v>
      </x:c>
      <x:c r="L31" s="53"/>
      <x:c r="M31" s="53"/>
      <x:c r="N31" s="55"/>
      <x:c r="O31" s="20"/>
      <x:c r="P31" s="20"/>
      <x:c r="Q31" s="20" t="str">
        <x:v>未运行</x:v>
      </x:c>
      <x:c r="R31" s="53"/>
      <x:c r="S31" s="53"/>
      <x:c r="T31" s="55"/>
      <x:c r="U31" s="20"/>
      <x:c r="V31" s="20" t="str">
        <x:v>待核对</x:v>
      </x:c>
      <x:c r="W31" s="20"/>
      <x:c r="X31" s="20"/>
      <x:c r="Y31" s="20" t="str">
        <x:v>否</x:v>
      </x:c>
      <x:c r="Z31" s="20"/>
      <x:c r="AA31" s="20"/>
      <x:c r="AB31" s="20"/>
    </x:row>
    <x:row r="32">
      <x:c r="A32" s="47" t="str">
        <x:v>YY-029</x:v>
      </x:c>
      <x:c r="B32" s="20"/>
      <x:c r="C32" s="20"/>
      <x:c r="D32" s="20"/>
      <x:c r="E32" s="20"/>
      <x:c r="F32" s="20"/>
      <x:c r="G32" s="20"/>
      <x:c r="H32" s="20" t="str">
        <x:v>standard</x:v>
      </x:c>
      <x:c r="I32" s="20" t="str">
        <x:v>草稿</x:v>
      </x:c>
      <x:c r="J32" s="20"/>
      <x:c r="K32" s="20" t="str">
        <x:v>未运行</x:v>
      </x:c>
      <x:c r="L32" s="53"/>
      <x:c r="M32" s="53"/>
      <x:c r="N32" s="55"/>
      <x:c r="O32" s="20"/>
      <x:c r="P32" s="20"/>
      <x:c r="Q32" s="20" t="str">
        <x:v>未运行</x:v>
      </x:c>
      <x:c r="R32" s="53"/>
      <x:c r="S32" s="53"/>
      <x:c r="T32" s="55"/>
      <x:c r="U32" s="20"/>
      <x:c r="V32" s="20" t="str">
        <x:v>待核对</x:v>
      </x:c>
      <x:c r="W32" s="20"/>
      <x:c r="X32" s="20"/>
      <x:c r="Y32" s="20" t="str">
        <x:v>否</x:v>
      </x:c>
      <x:c r="Z32" s="20"/>
      <x:c r="AA32" s="20"/>
      <x:c r="AB32" s="20"/>
    </x:row>
    <x:row r="33">
      <x:c r="A33" s="47" t="str">
        <x:v>YY-030</x:v>
      </x:c>
      <x:c r="B33" s="20"/>
      <x:c r="C33" s="20"/>
      <x:c r="D33" s="20"/>
      <x:c r="E33" s="20"/>
      <x:c r="F33" s="20"/>
      <x:c r="G33" s="20"/>
      <x:c r="H33" s="20" t="str">
        <x:v>standard</x:v>
      </x:c>
      <x:c r="I33" s="20" t="str">
        <x:v>草稿</x:v>
      </x:c>
      <x:c r="J33" s="20"/>
      <x:c r="K33" s="20" t="str">
        <x:v>未运行</x:v>
      </x:c>
      <x:c r="L33" s="53"/>
      <x:c r="M33" s="53"/>
      <x:c r="N33" s="55"/>
      <x:c r="O33" s="20"/>
      <x:c r="P33" s="20"/>
      <x:c r="Q33" s="20" t="str">
        <x:v>未运行</x:v>
      </x:c>
      <x:c r="R33" s="53"/>
      <x:c r="S33" s="53"/>
      <x:c r="T33" s="55"/>
      <x:c r="U33" s="20"/>
      <x:c r="V33" s="20" t="str">
        <x:v>待核对</x:v>
      </x:c>
      <x:c r="W33" s="20"/>
      <x:c r="X33" s="20"/>
      <x:c r="Y33" s="20" t="str">
        <x:v>否</x:v>
      </x:c>
      <x:c r="Z33" s="20"/>
      <x:c r="AA33" s="20"/>
      <x:c r="AB33" s="20"/>
    </x:row>
    <x:row r="34">
      <x:c r="A34" s="47" t="str">
        <x:v>YY-031</x:v>
      </x:c>
      <x:c r="B34" s="20"/>
      <x:c r="C34" s="20"/>
      <x:c r="D34" s="20"/>
      <x:c r="E34" s="20"/>
      <x:c r="F34" s="20"/>
      <x:c r="G34" s="20"/>
      <x:c r="H34" s="20" t="str">
        <x:v>standard</x:v>
      </x:c>
      <x:c r="I34" s="20" t="str">
        <x:v>草稿</x:v>
      </x:c>
      <x:c r="J34" s="20"/>
      <x:c r="K34" s="20" t="str">
        <x:v>未运行</x:v>
      </x:c>
      <x:c r="L34" s="53"/>
      <x:c r="M34" s="53"/>
      <x:c r="N34" s="55"/>
      <x:c r="O34" s="20"/>
      <x:c r="P34" s="20"/>
      <x:c r="Q34" s="20" t="str">
        <x:v>未运行</x:v>
      </x:c>
      <x:c r="R34" s="53"/>
      <x:c r="S34" s="53"/>
      <x:c r="T34" s="55"/>
      <x:c r="U34" s="20"/>
      <x:c r="V34" s="20" t="str">
        <x:v>待核对</x:v>
      </x:c>
      <x:c r="W34" s="20"/>
      <x:c r="X34" s="20"/>
      <x:c r="Y34" s="20" t="str">
        <x:v>否</x:v>
      </x:c>
      <x:c r="Z34" s="20"/>
      <x:c r="AA34" s="20"/>
      <x:c r="AB34" s="20"/>
    </x:row>
    <x:row r="35">
      <x:c r="A35" s="47" t="str">
        <x:v>YY-032</x:v>
      </x:c>
      <x:c r="B35" s="20"/>
      <x:c r="C35" s="20"/>
      <x:c r="D35" s="20"/>
      <x:c r="E35" s="20"/>
      <x:c r="F35" s="20"/>
      <x:c r="G35" s="20"/>
      <x:c r="H35" s="20" t="str">
        <x:v>standard</x:v>
      </x:c>
      <x:c r="I35" s="20" t="str">
        <x:v>草稿</x:v>
      </x:c>
      <x:c r="J35" s="20"/>
      <x:c r="K35" s="20" t="str">
        <x:v>未运行</x:v>
      </x:c>
      <x:c r="L35" s="53"/>
      <x:c r="M35" s="53"/>
      <x:c r="N35" s="55"/>
      <x:c r="O35" s="20"/>
      <x:c r="P35" s="20"/>
      <x:c r="Q35" s="20" t="str">
        <x:v>未运行</x:v>
      </x:c>
      <x:c r="R35" s="53"/>
      <x:c r="S35" s="53"/>
      <x:c r="T35" s="55"/>
      <x:c r="U35" s="20"/>
      <x:c r="V35" s="20" t="str">
        <x:v>待核对</x:v>
      </x:c>
      <x:c r="W35" s="20"/>
      <x:c r="X35" s="20"/>
      <x:c r="Y35" s="20" t="str">
        <x:v>否</x:v>
      </x:c>
      <x:c r="Z35" s="20"/>
      <x:c r="AA35" s="20"/>
      <x:c r="AB35" s="20"/>
    </x:row>
    <x:row r="36">
      <x:c r="A36" s="47" t="str">
        <x:v>YY-033</x:v>
      </x:c>
      <x:c r="B36" s="20"/>
      <x:c r="C36" s="20"/>
      <x:c r="D36" s="20"/>
      <x:c r="E36" s="20"/>
      <x:c r="F36" s="20"/>
      <x:c r="G36" s="20"/>
      <x:c r="H36" s="20" t="str">
        <x:v>standard</x:v>
      </x:c>
      <x:c r="I36" s="20" t="str">
        <x:v>草稿</x:v>
      </x:c>
      <x:c r="J36" s="20"/>
      <x:c r="K36" s="20" t="str">
        <x:v>未运行</x:v>
      </x:c>
      <x:c r="L36" s="53"/>
      <x:c r="M36" s="53"/>
      <x:c r="N36" s="55"/>
      <x:c r="O36" s="20"/>
      <x:c r="P36" s="20"/>
      <x:c r="Q36" s="20" t="str">
        <x:v>未运行</x:v>
      </x:c>
      <x:c r="R36" s="53"/>
      <x:c r="S36" s="53"/>
      <x:c r="T36" s="55"/>
      <x:c r="U36" s="20"/>
      <x:c r="V36" s="20" t="str">
        <x:v>待核对</x:v>
      </x:c>
      <x:c r="W36" s="20"/>
      <x:c r="X36" s="20"/>
      <x:c r="Y36" s="20" t="str">
        <x:v>否</x:v>
      </x:c>
      <x:c r="Z36" s="20"/>
      <x:c r="AA36" s="20"/>
      <x:c r="AB36" s="20"/>
    </x:row>
    <x:row r="37">
      <x:c r="A37" s="47" t="str">
        <x:v>YY-034</x:v>
      </x:c>
      <x:c r="B37" s="20"/>
      <x:c r="C37" s="20"/>
      <x:c r="D37" s="20"/>
      <x:c r="E37" s="20"/>
      <x:c r="F37" s="20"/>
      <x:c r="G37" s="20"/>
      <x:c r="H37" s="20" t="str">
        <x:v>standard</x:v>
      </x:c>
      <x:c r="I37" s="20" t="str">
        <x:v>草稿</x:v>
      </x:c>
      <x:c r="J37" s="20"/>
      <x:c r="K37" s="20" t="str">
        <x:v>未运行</x:v>
      </x:c>
      <x:c r="L37" s="53"/>
      <x:c r="M37" s="53"/>
      <x:c r="N37" s="55"/>
      <x:c r="O37" s="20"/>
      <x:c r="P37" s="20"/>
      <x:c r="Q37" s="20" t="str">
        <x:v>未运行</x:v>
      </x:c>
      <x:c r="R37" s="53"/>
      <x:c r="S37" s="53"/>
      <x:c r="T37" s="55"/>
      <x:c r="U37" s="20"/>
      <x:c r="V37" s="20" t="str">
        <x:v>待核对</x:v>
      </x:c>
      <x:c r="W37" s="20"/>
      <x:c r="X37" s="20"/>
      <x:c r="Y37" s="20" t="str">
        <x:v>否</x:v>
      </x:c>
      <x:c r="Z37" s="20"/>
      <x:c r="AA37" s="20"/>
      <x:c r="AB37" s="20"/>
    </x:row>
    <x:row r="38">
      <x:c r="A38" s="47" t="str">
        <x:v>YY-035</x:v>
      </x:c>
      <x:c r="B38" s="20"/>
      <x:c r="C38" s="20"/>
      <x:c r="D38" s="20"/>
      <x:c r="E38" s="20"/>
      <x:c r="F38" s="20"/>
      <x:c r="G38" s="20"/>
      <x:c r="H38" s="20" t="str">
        <x:v>standard</x:v>
      </x:c>
      <x:c r="I38" s="20" t="str">
        <x:v>草稿</x:v>
      </x:c>
      <x:c r="J38" s="20"/>
      <x:c r="K38" s="20" t="str">
        <x:v>未运行</x:v>
      </x:c>
      <x:c r="L38" s="53"/>
      <x:c r="M38" s="53"/>
      <x:c r="N38" s="55"/>
      <x:c r="O38" s="20"/>
      <x:c r="P38" s="20"/>
      <x:c r="Q38" s="20" t="str">
        <x:v>未运行</x:v>
      </x:c>
      <x:c r="R38" s="53"/>
      <x:c r="S38" s="53"/>
      <x:c r="T38" s="55"/>
      <x:c r="U38" s="20"/>
      <x:c r="V38" s="20" t="str">
        <x:v>待核对</x:v>
      </x:c>
      <x:c r="W38" s="20"/>
      <x:c r="X38" s="20"/>
      <x:c r="Y38" s="20" t="str">
        <x:v>否</x:v>
      </x:c>
      <x:c r="Z38" s="20"/>
      <x:c r="AA38" s="20"/>
      <x:c r="AB38" s="20"/>
    </x:row>
    <x:row r="39">
      <x:c r="A39" s="47" t="str">
        <x:v>YY-036</x:v>
      </x:c>
      <x:c r="B39" s="20"/>
      <x:c r="C39" s="20"/>
      <x:c r="D39" s="20"/>
      <x:c r="E39" s="20"/>
      <x:c r="F39" s="20"/>
      <x:c r="G39" s="20"/>
      <x:c r="H39" s="20" t="str">
        <x:v>standard</x:v>
      </x:c>
      <x:c r="I39" s="20" t="str">
        <x:v>草稿</x:v>
      </x:c>
      <x:c r="J39" s="20"/>
      <x:c r="K39" s="20" t="str">
        <x:v>未运行</x:v>
      </x:c>
      <x:c r="L39" s="53"/>
      <x:c r="M39" s="53"/>
      <x:c r="N39" s="55"/>
      <x:c r="O39" s="20"/>
      <x:c r="P39" s="20"/>
      <x:c r="Q39" s="20" t="str">
        <x:v>未运行</x:v>
      </x:c>
      <x:c r="R39" s="53"/>
      <x:c r="S39" s="53"/>
      <x:c r="T39" s="55"/>
      <x:c r="U39" s="20"/>
      <x:c r="V39" s="20" t="str">
        <x:v>待核对</x:v>
      </x:c>
      <x:c r="W39" s="20"/>
      <x:c r="X39" s="20"/>
      <x:c r="Y39" s="20" t="str">
        <x:v>否</x:v>
      </x:c>
      <x:c r="Z39" s="20"/>
      <x:c r="AA39" s="20"/>
      <x:c r="AB39" s="20"/>
    </x:row>
    <x:row r="40">
      <x:c r="A40" s="47" t="str">
        <x:v>YY-037</x:v>
      </x:c>
      <x:c r="B40" s="20"/>
      <x:c r="C40" s="20"/>
      <x:c r="D40" s="20"/>
      <x:c r="E40" s="20"/>
      <x:c r="F40" s="20"/>
      <x:c r="G40" s="20"/>
      <x:c r="H40" s="20" t="str">
        <x:v>standard</x:v>
      </x:c>
      <x:c r="I40" s="20" t="str">
        <x:v>草稿</x:v>
      </x:c>
      <x:c r="J40" s="20"/>
      <x:c r="K40" s="20" t="str">
        <x:v>未运行</x:v>
      </x:c>
      <x:c r="L40" s="53"/>
      <x:c r="M40" s="53"/>
      <x:c r="N40" s="55"/>
      <x:c r="O40" s="20"/>
      <x:c r="P40" s="20"/>
      <x:c r="Q40" s="20" t="str">
        <x:v>未运行</x:v>
      </x:c>
      <x:c r="R40" s="53"/>
      <x:c r="S40" s="53"/>
      <x:c r="T40" s="55"/>
      <x:c r="U40" s="20"/>
      <x:c r="V40" s="20" t="str">
        <x:v>待核对</x:v>
      </x:c>
      <x:c r="W40" s="20"/>
      <x:c r="X40" s="20"/>
      <x:c r="Y40" s="20" t="str">
        <x:v>否</x:v>
      </x:c>
      <x:c r="Z40" s="20"/>
      <x:c r="AA40" s="20"/>
      <x:c r="AB40" s="20"/>
    </x:row>
    <x:row r="41">
      <x:c r="A41" s="47" t="str">
        <x:v>YY-038</x:v>
      </x:c>
      <x:c r="B41" s="20"/>
      <x:c r="C41" s="20"/>
      <x:c r="D41" s="20"/>
      <x:c r="E41" s="20"/>
      <x:c r="F41" s="20"/>
      <x:c r="G41" s="20"/>
      <x:c r="H41" s="20" t="str">
        <x:v>standard</x:v>
      </x:c>
      <x:c r="I41" s="20" t="str">
        <x:v>草稿</x:v>
      </x:c>
      <x:c r="J41" s="20"/>
      <x:c r="K41" s="20" t="str">
        <x:v>未运行</x:v>
      </x:c>
      <x:c r="L41" s="53"/>
      <x:c r="M41" s="53"/>
      <x:c r="N41" s="55"/>
      <x:c r="O41" s="20"/>
      <x:c r="P41" s="20"/>
      <x:c r="Q41" s="20" t="str">
        <x:v>未运行</x:v>
      </x:c>
      <x:c r="R41" s="53"/>
      <x:c r="S41" s="53"/>
      <x:c r="T41" s="55"/>
      <x:c r="U41" s="20"/>
      <x:c r="V41" s="20" t="str">
        <x:v>待核对</x:v>
      </x:c>
      <x:c r="W41" s="20"/>
      <x:c r="X41" s="20"/>
      <x:c r="Y41" s="20" t="str">
        <x:v>否</x:v>
      </x:c>
      <x:c r="Z41" s="20"/>
      <x:c r="AA41" s="20"/>
      <x:c r="AB41" s="20"/>
    </x:row>
    <x:row r="42">
      <x:c r="A42" s="47" t="str">
        <x:v>YY-039</x:v>
      </x:c>
      <x:c r="B42" s="20"/>
      <x:c r="C42" s="20"/>
      <x:c r="D42" s="20"/>
      <x:c r="E42" s="20"/>
      <x:c r="F42" s="20"/>
      <x:c r="G42" s="20"/>
      <x:c r="H42" s="20" t="str">
        <x:v>standard</x:v>
      </x:c>
      <x:c r="I42" s="20" t="str">
        <x:v>草稿</x:v>
      </x:c>
      <x:c r="J42" s="20"/>
      <x:c r="K42" s="20" t="str">
        <x:v>未运行</x:v>
      </x:c>
      <x:c r="L42" s="53"/>
      <x:c r="M42" s="53"/>
      <x:c r="N42" s="55"/>
      <x:c r="O42" s="20"/>
      <x:c r="P42" s="20"/>
      <x:c r="Q42" s="20" t="str">
        <x:v>未运行</x:v>
      </x:c>
      <x:c r="R42" s="53"/>
      <x:c r="S42" s="53"/>
      <x:c r="T42" s="55"/>
      <x:c r="U42" s="20"/>
      <x:c r="V42" s="20" t="str">
        <x:v>待核对</x:v>
      </x:c>
      <x:c r="W42" s="20"/>
      <x:c r="X42" s="20"/>
      <x:c r="Y42" s="20" t="str">
        <x:v>否</x:v>
      </x:c>
      <x:c r="Z42" s="20"/>
      <x:c r="AA42" s="20"/>
      <x:c r="AB42" s="20"/>
    </x:row>
    <x:row r="43">
      <x:c r="A43" s="47" t="str">
        <x:v>YY-040</x:v>
      </x:c>
      <x:c r="B43" s="20"/>
      <x:c r="C43" s="20"/>
      <x:c r="D43" s="20"/>
      <x:c r="E43" s="20"/>
      <x:c r="F43" s="20"/>
      <x:c r="G43" s="20"/>
      <x:c r="H43" s="20" t="str">
        <x:v>standard</x:v>
      </x:c>
      <x:c r="I43" s="20" t="str">
        <x:v>草稿</x:v>
      </x:c>
      <x:c r="J43" s="20"/>
      <x:c r="K43" s="20" t="str">
        <x:v>未运行</x:v>
      </x:c>
      <x:c r="L43" s="53"/>
      <x:c r="M43" s="53"/>
      <x:c r="N43" s="55"/>
      <x:c r="O43" s="20"/>
      <x:c r="P43" s="20"/>
      <x:c r="Q43" s="20" t="str">
        <x:v>未运行</x:v>
      </x:c>
      <x:c r="R43" s="53"/>
      <x:c r="S43" s="53"/>
      <x:c r="T43" s="55"/>
      <x:c r="U43" s="20"/>
      <x:c r="V43" s="20" t="str">
        <x:v>待核对</x:v>
      </x:c>
      <x:c r="W43" s="20"/>
      <x:c r="X43" s="20"/>
      <x:c r="Y43" s="20" t="str">
        <x:v>否</x:v>
      </x:c>
      <x:c r="Z43" s="20"/>
      <x:c r="AA43" s="20"/>
      <x:c r="AB43" s="20"/>
    </x:row>
    <x:row r="44">
      <x:c r="A44" s="47" t="str">
        <x:v>YY-041</x:v>
      </x:c>
      <x:c r="B44" s="20"/>
      <x:c r="C44" s="20"/>
      <x:c r="D44" s="20"/>
      <x:c r="E44" s="20"/>
      <x:c r="F44" s="20"/>
      <x:c r="G44" s="20"/>
      <x:c r="H44" s="20" t="str">
        <x:v>standard</x:v>
      </x:c>
      <x:c r="I44" s="20" t="str">
        <x:v>草稿</x:v>
      </x:c>
      <x:c r="J44" s="20"/>
      <x:c r="K44" s="20" t="str">
        <x:v>未运行</x:v>
      </x:c>
      <x:c r="L44" s="53"/>
      <x:c r="M44" s="53"/>
      <x:c r="N44" s="55"/>
      <x:c r="O44" s="20"/>
      <x:c r="P44" s="20"/>
      <x:c r="Q44" s="20" t="str">
        <x:v>未运行</x:v>
      </x:c>
      <x:c r="R44" s="53"/>
      <x:c r="S44" s="53"/>
      <x:c r="T44" s="55"/>
      <x:c r="U44" s="20"/>
      <x:c r="V44" s="20" t="str">
        <x:v>待核对</x:v>
      </x:c>
      <x:c r="W44" s="20"/>
      <x:c r="X44" s="20"/>
      <x:c r="Y44" s="20" t="str">
        <x:v>否</x:v>
      </x:c>
      <x:c r="Z44" s="20"/>
      <x:c r="AA44" s="20"/>
      <x:c r="AB44" s="20"/>
    </x:row>
    <x:row r="45">
      <x:c r="A45" s="47" t="str">
        <x:v>YY-042</x:v>
      </x:c>
      <x:c r="B45" s="20"/>
      <x:c r="C45" s="20"/>
      <x:c r="D45" s="20"/>
      <x:c r="E45" s="20"/>
      <x:c r="F45" s="20"/>
      <x:c r="G45" s="20"/>
      <x:c r="H45" s="20" t="str">
        <x:v>standard</x:v>
      </x:c>
      <x:c r="I45" s="20" t="str">
        <x:v>草稿</x:v>
      </x:c>
      <x:c r="J45" s="20"/>
      <x:c r="K45" s="20" t="str">
        <x:v>未运行</x:v>
      </x:c>
      <x:c r="L45" s="53"/>
      <x:c r="M45" s="53"/>
      <x:c r="N45" s="55"/>
      <x:c r="O45" s="20"/>
      <x:c r="P45" s="20"/>
      <x:c r="Q45" s="20" t="str">
        <x:v>未运行</x:v>
      </x:c>
      <x:c r="R45" s="53"/>
      <x:c r="S45" s="53"/>
      <x:c r="T45" s="55"/>
      <x:c r="U45" s="20"/>
      <x:c r="V45" s="20" t="str">
        <x:v>待核对</x:v>
      </x:c>
      <x:c r="W45" s="20"/>
      <x:c r="X45" s="20"/>
      <x:c r="Y45" s="20" t="str">
        <x:v>否</x:v>
      </x:c>
      <x:c r="Z45" s="20"/>
      <x:c r="AA45" s="20"/>
      <x:c r="AB45" s="20"/>
    </x:row>
    <x:row r="46">
      <x:c r="A46" s="47" t="str">
        <x:v>YY-043</x:v>
      </x:c>
      <x:c r="B46" s="20"/>
      <x:c r="C46" s="20"/>
      <x:c r="D46" s="20"/>
      <x:c r="E46" s="20"/>
      <x:c r="F46" s="20"/>
      <x:c r="G46" s="20"/>
      <x:c r="H46" s="20" t="str">
        <x:v>standard</x:v>
      </x:c>
      <x:c r="I46" s="20" t="str">
        <x:v>草稿</x:v>
      </x:c>
      <x:c r="J46" s="20"/>
      <x:c r="K46" s="20" t="str">
        <x:v>未运行</x:v>
      </x:c>
      <x:c r="L46" s="53"/>
      <x:c r="M46" s="53"/>
      <x:c r="N46" s="55"/>
      <x:c r="O46" s="20"/>
      <x:c r="P46" s="20"/>
      <x:c r="Q46" s="20" t="str">
        <x:v>未运行</x:v>
      </x:c>
      <x:c r="R46" s="53"/>
      <x:c r="S46" s="53"/>
      <x:c r="T46" s="55"/>
      <x:c r="U46" s="20"/>
      <x:c r="V46" s="20" t="str">
        <x:v>待核对</x:v>
      </x:c>
      <x:c r="W46" s="20"/>
      <x:c r="X46" s="20"/>
      <x:c r="Y46" s="20" t="str">
        <x:v>否</x:v>
      </x:c>
      <x:c r="Z46" s="20"/>
      <x:c r="AA46" s="20"/>
      <x:c r="AB46" s="20"/>
    </x:row>
    <x:row r="47">
      <x:c r="A47" s="47" t="str">
        <x:v>YY-044</x:v>
      </x:c>
      <x:c r="B47" s="20"/>
      <x:c r="C47" s="20"/>
      <x:c r="D47" s="20"/>
      <x:c r="E47" s="20"/>
      <x:c r="F47" s="20"/>
      <x:c r="G47" s="20"/>
      <x:c r="H47" s="20" t="str">
        <x:v>standard</x:v>
      </x:c>
      <x:c r="I47" s="20" t="str">
        <x:v>草稿</x:v>
      </x:c>
      <x:c r="J47" s="20"/>
      <x:c r="K47" s="20" t="str">
        <x:v>未运行</x:v>
      </x:c>
      <x:c r="L47" s="53"/>
      <x:c r="M47" s="53"/>
      <x:c r="N47" s="55"/>
      <x:c r="O47" s="20"/>
      <x:c r="P47" s="20"/>
      <x:c r="Q47" s="20" t="str">
        <x:v>未运行</x:v>
      </x:c>
      <x:c r="R47" s="53"/>
      <x:c r="S47" s="53"/>
      <x:c r="T47" s="55"/>
      <x:c r="U47" s="20"/>
      <x:c r="V47" s="20" t="str">
        <x:v>待核对</x:v>
      </x:c>
      <x:c r="W47" s="20"/>
      <x:c r="X47" s="20"/>
      <x:c r="Y47" s="20" t="str">
        <x:v>否</x:v>
      </x:c>
      <x:c r="Z47" s="20"/>
      <x:c r="AA47" s="20"/>
      <x:c r="AB47" s="20"/>
    </x:row>
    <x:row r="48">
      <x:c r="A48" s="47" t="str">
        <x:v>YY-045</x:v>
      </x:c>
      <x:c r="B48" s="20"/>
      <x:c r="C48" s="20"/>
      <x:c r="D48" s="20"/>
      <x:c r="E48" s="20"/>
      <x:c r="F48" s="20"/>
      <x:c r="G48" s="20"/>
      <x:c r="H48" s="20" t="str">
        <x:v>standard</x:v>
      </x:c>
      <x:c r="I48" s="20" t="str">
        <x:v>草稿</x:v>
      </x:c>
      <x:c r="J48" s="20"/>
      <x:c r="K48" s="20" t="str">
        <x:v>未运行</x:v>
      </x:c>
      <x:c r="L48" s="53"/>
      <x:c r="M48" s="53"/>
      <x:c r="N48" s="55"/>
      <x:c r="O48" s="20"/>
      <x:c r="P48" s="20"/>
      <x:c r="Q48" s="20" t="str">
        <x:v>未运行</x:v>
      </x:c>
      <x:c r="R48" s="53"/>
      <x:c r="S48" s="53"/>
      <x:c r="T48" s="55"/>
      <x:c r="U48" s="20"/>
      <x:c r="V48" s="20" t="str">
        <x:v>待核对</x:v>
      </x:c>
      <x:c r="W48" s="20"/>
      <x:c r="X48" s="20"/>
      <x:c r="Y48" s="20" t="str">
        <x:v>否</x:v>
      </x:c>
      <x:c r="Z48" s="20"/>
      <x:c r="AA48" s="20"/>
      <x:c r="AB48" s="20"/>
    </x:row>
    <x:row r="49">
      <x:c r="A49" s="47" t="str">
        <x:v>YY-046</x:v>
      </x:c>
      <x:c r="B49" s="20"/>
      <x:c r="C49" s="20"/>
      <x:c r="D49" s="20"/>
      <x:c r="E49" s="20"/>
      <x:c r="F49" s="20"/>
      <x:c r="G49" s="20"/>
      <x:c r="H49" s="20" t="str">
        <x:v>standard</x:v>
      </x:c>
      <x:c r="I49" s="20" t="str">
        <x:v>草稿</x:v>
      </x:c>
      <x:c r="J49" s="20"/>
      <x:c r="K49" s="20" t="str">
        <x:v>未运行</x:v>
      </x:c>
      <x:c r="L49" s="53"/>
      <x:c r="M49" s="53"/>
      <x:c r="N49" s="55"/>
      <x:c r="O49" s="20"/>
      <x:c r="P49" s="20"/>
      <x:c r="Q49" s="20" t="str">
        <x:v>未运行</x:v>
      </x:c>
      <x:c r="R49" s="53"/>
      <x:c r="S49" s="53"/>
      <x:c r="T49" s="55"/>
      <x:c r="U49" s="20"/>
      <x:c r="V49" s="20" t="str">
        <x:v>待核对</x:v>
      </x:c>
      <x:c r="W49" s="20"/>
      <x:c r="X49" s="20"/>
      <x:c r="Y49" s="20" t="str">
        <x:v>否</x:v>
      </x:c>
      <x:c r="Z49" s="20"/>
      <x:c r="AA49" s="20"/>
      <x:c r="AB49" s="20"/>
    </x:row>
    <x:row r="50">
      <x:c r="A50" s="47" t="str">
        <x:v>YY-047</x:v>
      </x:c>
      <x:c r="B50" s="20"/>
      <x:c r="C50" s="20"/>
      <x:c r="D50" s="20"/>
      <x:c r="E50" s="20"/>
      <x:c r="F50" s="20"/>
      <x:c r="G50" s="20"/>
      <x:c r="H50" s="20" t="str">
        <x:v>standard</x:v>
      </x:c>
      <x:c r="I50" s="20" t="str">
        <x:v>草稿</x:v>
      </x:c>
      <x:c r="J50" s="20"/>
      <x:c r="K50" s="20" t="str">
        <x:v>未运行</x:v>
      </x:c>
      <x:c r="L50" s="53"/>
      <x:c r="M50" s="53"/>
      <x:c r="N50" s="55"/>
      <x:c r="O50" s="20"/>
      <x:c r="P50" s="20"/>
      <x:c r="Q50" s="20" t="str">
        <x:v>未运行</x:v>
      </x:c>
      <x:c r="R50" s="53"/>
      <x:c r="S50" s="53"/>
      <x:c r="T50" s="55"/>
      <x:c r="U50" s="20"/>
      <x:c r="V50" s="20" t="str">
        <x:v>待核对</x:v>
      </x:c>
      <x:c r="W50" s="20"/>
      <x:c r="X50" s="20"/>
      <x:c r="Y50" s="20" t="str">
        <x:v>否</x:v>
      </x:c>
      <x:c r="Z50" s="20"/>
      <x:c r="AA50" s="20"/>
      <x:c r="AB50" s="20"/>
    </x:row>
    <x:row r="51">
      <x:c r="A51" s="47" t="str">
        <x:v>YY-048</x:v>
      </x:c>
      <x:c r="B51" s="20"/>
      <x:c r="C51" s="20"/>
      <x:c r="D51" s="20"/>
      <x:c r="E51" s="20"/>
      <x:c r="F51" s="20"/>
      <x:c r="G51" s="20"/>
      <x:c r="H51" s="20" t="str">
        <x:v>standard</x:v>
      </x:c>
      <x:c r="I51" s="20" t="str">
        <x:v>草稿</x:v>
      </x:c>
      <x:c r="J51" s="20"/>
      <x:c r="K51" s="20" t="str">
        <x:v>未运行</x:v>
      </x:c>
      <x:c r="L51" s="53"/>
      <x:c r="M51" s="53"/>
      <x:c r="N51" s="55"/>
      <x:c r="O51" s="20"/>
      <x:c r="P51" s="20"/>
      <x:c r="Q51" s="20" t="str">
        <x:v>未运行</x:v>
      </x:c>
      <x:c r="R51" s="53"/>
      <x:c r="S51" s="53"/>
      <x:c r="T51" s="55"/>
      <x:c r="U51" s="20"/>
      <x:c r="V51" s="20" t="str">
        <x:v>待核对</x:v>
      </x:c>
      <x:c r="W51" s="20"/>
      <x:c r="X51" s="20"/>
      <x:c r="Y51" s="20" t="str">
        <x:v>否</x:v>
      </x:c>
      <x:c r="Z51" s="20"/>
      <x:c r="AA51" s="20"/>
      <x:c r="AB51" s="20"/>
    </x:row>
    <x:row r="52">
      <x:c r="A52" s="47" t="str">
        <x:v>YY-049</x:v>
      </x:c>
      <x:c r="B52" s="20"/>
      <x:c r="C52" s="20"/>
      <x:c r="D52" s="20"/>
      <x:c r="E52" s="20"/>
      <x:c r="F52" s="20"/>
      <x:c r="G52" s="20"/>
      <x:c r="H52" s="20" t="str">
        <x:v>standard</x:v>
      </x:c>
      <x:c r="I52" s="20" t="str">
        <x:v>草稿</x:v>
      </x:c>
      <x:c r="J52" s="20"/>
      <x:c r="K52" s="20" t="str">
        <x:v>未运行</x:v>
      </x:c>
      <x:c r="L52" s="53"/>
      <x:c r="M52" s="53"/>
      <x:c r="N52" s="55"/>
      <x:c r="O52" s="20"/>
      <x:c r="P52" s="20"/>
      <x:c r="Q52" s="20" t="str">
        <x:v>未运行</x:v>
      </x:c>
      <x:c r="R52" s="53"/>
      <x:c r="S52" s="53"/>
      <x:c r="T52" s="55"/>
      <x:c r="U52" s="20"/>
      <x:c r="V52" s="20" t="str">
        <x:v>待核对</x:v>
      </x:c>
      <x:c r="W52" s="20"/>
      <x:c r="X52" s="20"/>
      <x:c r="Y52" s="20" t="str">
        <x:v>否</x:v>
      </x:c>
      <x:c r="Z52" s="20"/>
      <x:c r="AA52" s="20"/>
      <x:c r="AB52" s="20"/>
    </x:row>
    <x:row r="53">
      <x:c r="A53" s="47" t="str">
        <x:v>YY-050</x:v>
      </x:c>
      <x:c r="B53" s="20"/>
      <x:c r="C53" s="20"/>
      <x:c r="D53" s="20"/>
      <x:c r="E53" s="20"/>
      <x:c r="F53" s="20"/>
      <x:c r="G53" s="20"/>
      <x:c r="H53" s="20" t="str">
        <x:v>standard</x:v>
      </x:c>
      <x:c r="I53" s="20" t="str">
        <x:v>草稿</x:v>
      </x:c>
      <x:c r="J53" s="20"/>
      <x:c r="K53" s="20" t="str">
        <x:v>未运行</x:v>
      </x:c>
      <x:c r="L53" s="53"/>
      <x:c r="M53" s="53"/>
      <x:c r="N53" s="55"/>
      <x:c r="O53" s="20"/>
      <x:c r="P53" s="20"/>
      <x:c r="Q53" s="20" t="str">
        <x:v>未运行</x:v>
      </x:c>
      <x:c r="R53" s="53"/>
      <x:c r="S53" s="53"/>
      <x:c r="T53" s="55"/>
      <x:c r="U53" s="20"/>
      <x:c r="V53" s="20" t="str">
        <x:v>待核对</x:v>
      </x:c>
      <x:c r="W53" s="20"/>
      <x:c r="X53" s="20"/>
      <x:c r="Y53" s="20" t="str">
        <x:v>否</x:v>
      </x:c>
      <x:c r="Z53" s="20"/>
      <x:c r="AA53" s="20"/>
      <x:c r="AB53" s="20"/>
    </x:row>
  </x:sheetData>
  <x:mergeCells>
    <x:mergeCell ref="A1:AB1"/>
  </x:mergeCells>
  <x:conditionalFormatting sqref="K4:K53">
    <x:cfRule type="containsText" dxfId="8" priority="1" operator="containsText" text="SUCCESS"/>
    <x:cfRule type="containsText" dxfId="9" priority="2" operator="containsText" text="FAILED"/>
    <x:cfRule type="containsText" dxfId="10" priority="3" operator="containsText" text="TIMEOUT"/>
  </x:conditionalFormatting>
  <x:conditionalFormatting sqref="Q4:Q53">
    <x:cfRule type="containsText" dxfId="11" priority="4" operator="containsText" text="SUCCESS"/>
    <x:cfRule type="containsText" dxfId="12" priority="5" operator="containsText" text="FAILED"/>
    <x:cfRule type="containsText" dxfId="13" priority="6" operator="containsText" text="TIMEOUT"/>
  </x:conditionalFormatting>
  <x:conditionalFormatting sqref="V4:V53">
    <x:cfRule type="containsText" dxfId="14" priority="7" operator="containsText" text="通过"/>
    <x:cfRule type="containsText" dxfId="15" priority="8" operator="containsText" text="不通过"/>
  </x:conditionalFormatting>
  <x:conditionalFormatting sqref="W4:W53">
    <x:cfRule type="containsText" dxfId="16" priority="9" operator="containsText" text="P0"/>
    <x:cfRule type="containsText" dxfId="17" priority="10" operator="containsText" text="P1"/>
  </x:conditionalFormatting>
  <x:dataValidations count="11">
    <x:dataValidation type="list" sqref="C4:C53">
      <x:formula1>"PDF,DOCX,DOC,XLSX,XLS,EML,JPG/PNG,TXT/CSV/JSON/MD,多文件组合,其他"</x:formula1>
    </x:dataValidation>
    <x:dataValidation type="list" sqref="E4:E53">
      <x:formula1>"文本型,扫描件,复杂表格,Word内嵌截图,多附件,其他"</x:formula1>
    </x:dataValidation>
    <x:dataValidation type="list" sqref="F4:F53">
      <x:formula1>"是,否"</x:formula1>
    </x:dataValidation>
    <x:dataValidation type="list" sqref="H4:H53">
      <x:formula1>"standard,high_accuracy,双模式"</x:formula1>
    </x:dataValidation>
    <x:dataValidation type="list" sqref="I4:I53">
      <x:formula1>"草稿,已确认,有争议"</x:formula1>
    </x:dataValidation>
    <x:dataValidation type="list" sqref="K4:K53">
      <x:formula1>"未运行,PENDING,PROCESSING,SUCCESS,FAILED,TIMEOUT"</x:formula1>
    </x:dataValidation>
    <x:dataValidation type="list" sqref="Q4:Q53">
      <x:formula1>"未运行,PENDING,PROCESSING,SUCCESS,FAILED,TIMEOUT"</x:formula1>
    </x:dataValidation>
    <x:dataValidation type="list" sqref="V4:V53">
      <x:formula1>"待核对,通过,不通过,暂不评分,排除"</x:formula1>
    </x:dataValidation>
    <x:dataValidation type="list" sqref="W4:W53">
      <x:formula1>"P0,P1,P2,P3"</x:formula1>
    </x:dataValidation>
    <x:dataValidation type="list" sqref="X4:X53">
      <x:formula1>"PARSER,VISION_OCR,PROMPT_LLM,RULE_CLEAN,GOLD_ERROR,BUSINESS_UNCLEAR,API_SYSTEM"</x:formula1>
    </x:dataValidation>
    <x:dataValidation type="list" sqref="Y4:Y5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92da1e7bc44d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5" hidden="0" customWidth="1"/>
    <x:col min="4" max="4" width="38" hidden="0" customWidth="1"/>
    <x:col min="5" max="5" width="38" hidden="0" customWidth="1"/>
    <x:col min="6" max="6" width="13" hidden="0" customWidth="1"/>
    <x:col min="7" max="7" width="15" hidden="0" customWidth="1"/>
    <x:col min="8" max="8" width="20" hidden="0" customWidth="1"/>
    <x:col min="9" max="9" width="11" hidden="0" customWidth="1"/>
    <x:col min="10" max="10" width="42" hidden="0" customWidth="1"/>
    <x:col min="11" max="11" width="15" hidden="0" customWidth="1"/>
    <x:col min="12" max="12" width="13" hidden="0" customWidth="1"/>
    <x:col min="13" max="13" width="16" hidden="0" customWidth="1"/>
    <x:col min="14" max="14" width="18" hidden="0" customWidth="1"/>
  </x:cols>
  <x:sheetData>
    <x:row r="1" ht="32" customHeight="1">
      <x:c r="A1" s="4" t="str">
        <x:v>字段级差异记录（每行一个差异或核对字段）</x:v>
      </x:c>
      <x:c r="B1" s="4" t="str">
        <x:v>字段级差异记录（每行一个差异或核对字段）</x:v>
      </x:c>
      <x:c r="C1" s="4" t="str">
        <x:v>字段级差异记录（每行一个差异或核对字段）</x:v>
      </x:c>
      <x:c r="D1" s="4" t="str">
        <x:v>字段级差异记录（每行一个差异或核对字段）</x:v>
      </x:c>
      <x:c r="E1" s="4" t="str">
        <x:v>字段级差异记录（每行一个差异或核对字段）</x:v>
      </x:c>
      <x:c r="F1" s="4" t="str">
        <x:v>字段级差异记录（每行一个差异或核对字段）</x:v>
      </x:c>
      <x:c r="G1" s="4" t="str">
        <x:v>字段级差异记录（每行一个差异或核对字段）</x:v>
      </x:c>
      <x:c r="H1" s="4" t="str">
        <x:v>字段级差异记录（每行一个差异或核对字段）</x:v>
      </x:c>
      <x:c r="I1" s="4" t="str">
        <x:v>字段级差异记录（每行一个差异或核对字段）</x:v>
      </x:c>
      <x:c r="J1" s="4" t="str">
        <x:v>字段级差异记录（每行一个差异或核对字段）</x:v>
      </x:c>
      <x:c r="K1" s="4" t="str">
        <x:v>字段级差异记录（每行一个差异或核对字段）</x:v>
      </x:c>
      <x:c r="L1" s="4" t="str">
        <x:v>字段级差异记录（每行一个差异或核对字段）</x:v>
      </x:c>
      <x:c r="M1" s="4" t="str">
        <x:v>字段级差异记录（每行一个差异或核对字段）</x:v>
      </x:c>
      <x:c r="N1" s="4" t="str">
        <x:v>字段级差异记录（每行一个差异或核对字段）</x:v>
      </x:c>
    </x:row>
    <x:row r="3" ht="30" customHeight="1">
      <x:c r="A3" s="13" t="str">
        <x:v>案例编号</x:v>
      </x:c>
      <x:c r="B3" s="13" t="str">
        <x:v>模式</x:v>
      </x:c>
      <x:c r="C3" s="13" t="str">
        <x:v>字段路径</x:v>
      </x:c>
      <x:c r="D3" s="13" t="str">
        <x:v>人工标准值</x:v>
      </x:c>
      <x:c r="E3" s="13" t="str">
        <x:v>模型实际值</x:v>
      </x:c>
      <x:c r="F3" s="13" t="str">
        <x:v>精确结果</x:v>
      </x:c>
      <x:c r="G3" s="13" t="str">
        <x:v>业务判断</x:v>
      </x:c>
      <x:c r="H3" s="13" t="str">
        <x:v>错误归因</x:v>
      </x:c>
      <x:c r="I3" s="13" t="str">
        <x:v>问题等级</x:v>
      </x:c>
      <x:c r="J3" s="13" t="str">
        <x:v>原文证据</x:v>
      </x:c>
      <x:c r="K3" s="13" t="str">
        <x:v>审核人</x:v>
      </x:c>
      <x:c r="L3" s="13" t="str">
        <x:v>确认状态</x:v>
      </x:c>
      <x:c r="M3" s="13" t="str">
        <x:v>问题ID</x:v>
      </x:c>
      <x:c r="N3" s="13" t="str">
        <x:v>差异类型</x:v>
      </x:c>
    </x:row>
    <x:row r="4">
      <x:c r="A4" s="19"/>
      <x:c r="B4" s="19"/>
      <x:c r="C4" s="19"/>
      <x:c r="D4" s="19"/>
      <x:c r="E4" s="19"/>
      <x:c r="F4" s="19" t="str">
        <x:f>IF(OR(D4="",E4=""),"",IF(EXACT(D4,E4),"一致","差异"))</x:f>
      </x:c>
      <x:c r="G4" s="19"/>
      <x:c r="H4" s="19"/>
      <x:c r="I4" s="19"/>
      <x:c r="J4" s="19"/>
      <x:c r="K4" s="19"/>
      <x:c r="L4" s="19"/>
      <x:c r="M4" s="19"/>
      <x:c r="N4" s="19"/>
    </x:row>
    <x:row r="5">
      <x:c r="A5" s="20"/>
      <x:c r="B5" s="20"/>
      <x:c r="C5" s="20"/>
      <x:c r="D5" s="20"/>
      <x:c r="E5" s="20"/>
      <x:c r="F5" s="20" t="str">
        <x:f>IF(OR(D5="",E5=""),"",IF(EXACT(D5,E5),"一致","差异"))</x:f>
      </x:c>
      <x:c r="G5" s="20"/>
      <x:c r="H5" s="20"/>
      <x:c r="I5" s="20"/>
      <x:c r="J5" s="20"/>
      <x:c r="K5" s="20"/>
      <x:c r="L5" s="20"/>
      <x:c r="M5" s="20"/>
      <x:c r="N5" s="20"/>
    </x:row>
    <x:row r="6">
      <x:c r="A6" s="20"/>
      <x:c r="B6" s="20"/>
      <x:c r="C6" s="20"/>
      <x:c r="D6" s="20"/>
      <x:c r="E6" s="20"/>
      <x:c r="F6" s="20" t="str">
        <x:f>IF(OR(D6="",E6=""),"",IF(EXACT(D6,E6),"一致","差异"))</x:f>
      </x:c>
      <x:c r="G6" s="20"/>
      <x:c r="H6" s="20"/>
      <x:c r="I6" s="20"/>
      <x:c r="J6" s="20"/>
      <x:c r="K6" s="20"/>
      <x:c r="L6" s="20"/>
      <x:c r="M6" s="20"/>
      <x:c r="N6" s="20"/>
    </x:row>
    <x:row r="7">
      <x:c r="A7" s="20"/>
      <x:c r="B7" s="20"/>
      <x:c r="C7" s="20"/>
      <x:c r="D7" s="20"/>
      <x:c r="E7" s="20"/>
      <x:c r="F7" s="20" t="str">
        <x:f>IF(OR(D7="",E7=""),"",IF(EXACT(D7,E7),"一致","差异"))</x:f>
      </x:c>
      <x:c r="G7" s="20"/>
      <x:c r="H7" s="20"/>
      <x:c r="I7" s="20"/>
      <x:c r="J7" s="20"/>
      <x:c r="K7" s="20"/>
      <x:c r="L7" s="20"/>
      <x:c r="M7" s="20"/>
      <x:c r="N7" s="20"/>
    </x:row>
    <x:row r="8">
      <x:c r="A8" s="20"/>
      <x:c r="B8" s="20"/>
      <x:c r="C8" s="20"/>
      <x:c r="D8" s="20"/>
      <x:c r="E8" s="20"/>
      <x:c r="F8" s="20" t="str">
        <x:f>IF(OR(D8="",E8=""),"",IF(EXACT(D8,E8),"一致","差异"))</x:f>
      </x:c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 t="str">
        <x:f>IF(OR(D9="",E9=""),"",IF(EXACT(D9,E9),"一致","差异"))</x:f>
      </x:c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 t="str">
        <x:f>IF(OR(D10="",E10=""),"",IF(EXACT(D10,E10),"一致","差异"))</x:f>
      </x:c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 t="str">
        <x:f>IF(OR(D11="",E11=""),"",IF(EXACT(D11,E11),"一致","差异"))</x:f>
      </x:c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 t="str">
        <x:f>IF(OR(D12="",E12=""),"",IF(EXACT(D12,E12),"一致","差异"))</x:f>
      </x:c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 t="str">
        <x:f>IF(OR(D13="",E13=""),"",IF(EXACT(D13,E13),"一致","差异"))</x:f>
      </x:c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 t="str">
        <x:f>IF(OR(D14="",E14=""),"",IF(EXACT(D14,E14),"一致","差异"))</x:f>
      </x:c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 t="str">
        <x:f>IF(OR(D15="",E15=""),"",IF(EXACT(D15,E15),"一致","差异"))</x:f>
      </x:c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 t="str">
        <x:f>IF(OR(D16="",E16=""),"",IF(EXACT(D16,E16),"一致","差异"))</x:f>
      </x:c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 t="str">
        <x:f>IF(OR(D17="",E17=""),"",IF(EXACT(D17,E17),"一致","差异"))</x:f>
      </x:c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 t="str">
        <x:f>IF(OR(D18="",E18=""),"",IF(EXACT(D18,E18),"一致","差异"))</x:f>
      </x:c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 t="str">
        <x:f>IF(OR(D19="",E19=""),"",IF(EXACT(D19,E19),"一致","差异"))</x:f>
      </x:c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 t="str">
        <x:f>IF(OR(D20="",E20=""),"",IF(EXACT(D20,E20),"一致","差异"))</x:f>
      </x:c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 t="str">
        <x:f>IF(OR(D21="",E21=""),"",IF(EXACT(D21,E21),"一致","差异"))</x:f>
      </x:c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 t="str">
        <x:f>IF(OR(D22="",E22=""),"",IF(EXACT(D22,E22),"一致","差异"))</x:f>
      </x:c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 t="str">
        <x:f>IF(OR(D23="",E23=""),"",IF(EXACT(D23,E23),"一致","差异"))</x:f>
      </x:c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 t="str">
        <x:f>IF(OR(D24="",E24=""),"",IF(EXACT(D24,E24),"一致","差异"))</x:f>
      </x:c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 t="str">
        <x:f>IF(OR(D25="",E25=""),"",IF(EXACT(D25,E25),"一致","差异"))</x:f>
      </x:c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 t="str">
        <x:f>IF(OR(D26="",E26=""),"",IF(EXACT(D26,E26),"一致","差异"))</x:f>
      </x:c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 t="str">
        <x:f>IF(OR(D27="",E27=""),"",IF(EXACT(D27,E27),"一致","差异"))</x:f>
      </x:c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 t="str">
        <x:f>IF(OR(D28="",E28=""),"",IF(EXACT(D28,E28),"一致","差异"))</x:f>
      </x:c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 t="str">
        <x:f>IF(OR(D29="",E29=""),"",IF(EXACT(D29,E29),"一致","差异"))</x:f>
      </x:c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 t="str">
        <x:f>IF(OR(D30="",E30=""),"",IF(EXACT(D30,E30),"一致","差异"))</x:f>
      </x:c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 t="str">
        <x:f>IF(OR(D31="",E31=""),"",IF(EXACT(D31,E31),"一致","差异"))</x:f>
      </x:c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 t="str">
        <x:f>IF(OR(D32="",E32=""),"",IF(EXACT(D32,E32),"一致","差异"))</x:f>
      </x:c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 t="str">
        <x:f>IF(OR(D33="",E33=""),"",IF(EXACT(D33,E33),"一致","差异"))</x:f>
      </x:c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 t="str">
        <x:f>IF(OR(D34="",E34=""),"",IF(EXACT(D34,E34),"一致","差异"))</x:f>
      </x:c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 t="str">
        <x:f>IF(OR(D35="",E35=""),"",IF(EXACT(D35,E35),"一致","差异"))</x:f>
      </x:c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 t="str">
        <x:f>IF(OR(D36="",E36=""),"",IF(EXACT(D36,E36),"一致","差异"))</x:f>
      </x:c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 t="str">
        <x:f>IF(OR(D37="",E37=""),"",IF(EXACT(D37,E37),"一致","差异"))</x:f>
      </x:c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 t="str">
        <x:f>IF(OR(D38="",E38=""),"",IF(EXACT(D38,E38),"一致","差异"))</x:f>
      </x:c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 t="str">
        <x:f>IF(OR(D39="",E39=""),"",IF(EXACT(D39,E39),"一致","差异"))</x:f>
      </x:c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 t="str">
        <x:f>IF(OR(D40="",E40=""),"",IF(EXACT(D40,E40),"一致","差异"))</x:f>
      </x:c>
      <x:c r="G40" s="20"/>
      <x:c r="H40" s="20"/>
      <x:c r="I40" s="20"/>
      <x:c r="J40" s="20"/>
      <x:c r="K40" s="20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 t="str">
        <x:f>IF(OR(D41="",E41=""),"",IF(EXACT(D41,E41),"一致","差异"))</x:f>
      </x:c>
      <x:c r="G41" s="20"/>
      <x:c r="H41" s="20"/>
      <x:c r="I41" s="20"/>
      <x:c r="J41" s="20"/>
      <x:c r="K41" s="20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 t="str">
        <x:f>IF(OR(D42="",E42=""),"",IF(EXACT(D42,E42),"一致","差异"))</x:f>
      </x:c>
      <x:c r="G42" s="20"/>
      <x:c r="H42" s="20"/>
      <x:c r="I42" s="20"/>
      <x:c r="J42" s="20"/>
      <x:c r="K42" s="20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 t="str">
        <x:f>IF(OR(D43="",E43=""),"",IF(EXACT(D43,E43),"一致","差异"))</x:f>
      </x:c>
      <x:c r="G43" s="20"/>
      <x:c r="H43" s="20"/>
      <x:c r="I43" s="20"/>
      <x:c r="J43" s="20"/>
      <x:c r="K43" s="20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 t="str">
        <x:f>IF(OR(D44="",E44=""),"",IF(EXACT(D44,E44),"一致","差异"))</x:f>
      </x:c>
      <x:c r="G44" s="20"/>
      <x:c r="H44" s="20"/>
      <x:c r="I44" s="20"/>
      <x:c r="J44" s="20"/>
      <x:c r="K44" s="20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 t="str">
        <x:f>IF(OR(D45="",E45=""),"",IF(EXACT(D45,E45),"一致","差异"))</x:f>
      </x:c>
      <x:c r="G45" s="20"/>
      <x:c r="H45" s="20"/>
      <x:c r="I45" s="20"/>
      <x:c r="J45" s="20"/>
      <x:c r="K45" s="20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 t="str">
        <x:f>IF(OR(D46="",E46=""),"",IF(EXACT(D46,E46),"一致","差异"))</x:f>
      </x:c>
      <x:c r="G46" s="20"/>
      <x:c r="H46" s="20"/>
      <x:c r="I46" s="20"/>
      <x:c r="J46" s="20"/>
      <x:c r="K46" s="20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 t="str">
        <x:f>IF(OR(D47="",E47=""),"",IF(EXACT(D47,E47),"一致","差异"))</x:f>
      </x:c>
      <x:c r="G47" s="20"/>
      <x:c r="H47" s="20"/>
      <x:c r="I47" s="20"/>
      <x:c r="J47" s="20"/>
      <x:c r="K47" s="20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 t="str">
        <x:f>IF(OR(D48="",E48=""),"",IF(EXACT(D48,E48),"一致","差异"))</x:f>
      </x:c>
      <x:c r="G48" s="20"/>
      <x:c r="H48" s="20"/>
      <x:c r="I48" s="20"/>
      <x:c r="J48" s="20"/>
      <x:c r="K48" s="20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 t="str">
        <x:f>IF(OR(D49="",E49=""),"",IF(EXACT(D49,E49),"一致","差异"))</x:f>
      </x:c>
      <x:c r="G49" s="20"/>
      <x:c r="H49" s="20"/>
      <x:c r="I49" s="20"/>
      <x:c r="J49" s="20"/>
      <x:c r="K49" s="20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 t="str">
        <x:f>IF(OR(D50="",E50=""),"",IF(EXACT(D50,E50),"一致","差异"))</x:f>
      </x:c>
      <x:c r="G50" s="20"/>
      <x:c r="H50" s="20"/>
      <x:c r="I50" s="20"/>
      <x:c r="J50" s="20"/>
      <x:c r="K50" s="20"/>
      <x:c r="L50" s="20"/>
      <x:c r="M50" s="20"/>
      <x:c r="N50" s="20"/>
    </x:row>
    <x:row r="51">
      <x:c r="A51" s="20"/>
      <x:c r="B51" s="20"/>
      <x:c r="C51" s="20"/>
      <x:c r="D51" s="20"/>
      <x:c r="E51" s="20"/>
      <x:c r="F51" s="20" t="str">
        <x:f>IF(OR(D51="",E51=""),"",IF(EXACT(D51,E51),"一致","差异"))</x:f>
      </x:c>
      <x:c r="G51" s="20"/>
      <x:c r="H51" s="20"/>
      <x:c r="I51" s="20"/>
      <x:c r="J51" s="20"/>
      <x:c r="K51" s="20"/>
      <x:c r="L51" s="20"/>
      <x:c r="M51" s="20"/>
      <x:c r="N51" s="20"/>
    </x:row>
    <x:row r="52">
      <x:c r="A52" s="20"/>
      <x:c r="B52" s="20"/>
      <x:c r="C52" s="20"/>
      <x:c r="D52" s="20"/>
      <x:c r="E52" s="20"/>
      <x:c r="F52" s="20" t="str">
        <x:f>IF(OR(D52="",E52=""),"",IF(EXACT(D52,E52),"一致","差异"))</x:f>
      </x:c>
      <x:c r="G52" s="20"/>
      <x:c r="H52" s="20"/>
      <x:c r="I52" s="20"/>
      <x:c r="J52" s="20"/>
      <x:c r="K52" s="20"/>
      <x:c r="L52" s="20"/>
      <x:c r="M52" s="20"/>
      <x:c r="N52" s="20"/>
    </x:row>
    <x:row r="53">
      <x:c r="A53" s="20"/>
      <x:c r="B53" s="20"/>
      <x:c r="C53" s="20"/>
      <x:c r="D53" s="20"/>
      <x:c r="E53" s="20"/>
      <x:c r="F53" s="20" t="str">
        <x:f>IF(OR(D53="",E53=""),"",IF(EXACT(D53,E53),"一致","差异"))</x:f>
      </x:c>
      <x:c r="G53" s="20"/>
      <x:c r="H53" s="20"/>
      <x:c r="I53" s="20"/>
      <x:c r="J53" s="20"/>
      <x:c r="K53" s="20"/>
      <x:c r="L53" s="20"/>
      <x:c r="M53" s="20"/>
      <x:c r="N53" s="20"/>
    </x:row>
    <x:row r="54">
      <x:c r="A54" s="20"/>
      <x:c r="B54" s="20"/>
      <x:c r="C54" s="20"/>
      <x:c r="D54" s="20"/>
      <x:c r="E54" s="20"/>
      <x:c r="F54" s="20" t="str">
        <x:f>IF(OR(D54="",E54=""),"",IF(EXACT(D54,E54),"一致","差异"))</x:f>
      </x:c>
      <x:c r="G54" s="20"/>
      <x:c r="H54" s="20"/>
      <x:c r="I54" s="20"/>
      <x:c r="J54" s="20"/>
      <x:c r="K54" s="20"/>
      <x:c r="L54" s="20"/>
      <x:c r="M54" s="20"/>
      <x:c r="N54" s="20"/>
    </x:row>
    <x:row r="55">
      <x:c r="A55" s="20"/>
      <x:c r="B55" s="20"/>
      <x:c r="C55" s="20"/>
      <x:c r="D55" s="20"/>
      <x:c r="E55" s="20"/>
      <x:c r="F55" s="20" t="str">
        <x:f>IF(OR(D55="",E55=""),"",IF(EXACT(D55,E55),"一致","差异"))</x:f>
      </x:c>
      <x:c r="G55" s="20"/>
      <x:c r="H55" s="20"/>
      <x:c r="I55" s="20"/>
      <x:c r="J55" s="20"/>
      <x:c r="K55" s="20"/>
      <x:c r="L55" s="20"/>
      <x:c r="M55" s="20"/>
      <x:c r="N55" s="20"/>
    </x:row>
    <x:row r="56">
      <x:c r="A56" s="20"/>
      <x:c r="B56" s="20"/>
      <x:c r="C56" s="20"/>
      <x:c r="D56" s="20"/>
      <x:c r="E56" s="20"/>
      <x:c r="F56" s="20" t="str">
        <x:f>IF(OR(D56="",E56=""),"",IF(EXACT(D56,E56),"一致","差异"))</x:f>
      </x:c>
      <x:c r="G56" s="20"/>
      <x:c r="H56" s="20"/>
      <x:c r="I56" s="20"/>
      <x:c r="J56" s="20"/>
      <x:c r="K56" s="20"/>
      <x:c r="L56" s="20"/>
      <x:c r="M56" s="20"/>
      <x:c r="N56" s="20"/>
    </x:row>
    <x:row r="57">
      <x:c r="A57" s="20"/>
      <x:c r="B57" s="20"/>
      <x:c r="C57" s="20"/>
      <x:c r="D57" s="20"/>
      <x:c r="E57" s="20"/>
      <x:c r="F57" s="20" t="str">
        <x:f>IF(OR(D57="",E57=""),"",IF(EXACT(D57,E57),"一致","差异"))</x:f>
      </x:c>
      <x:c r="G57" s="20"/>
      <x:c r="H57" s="20"/>
      <x:c r="I57" s="20"/>
      <x:c r="J57" s="20"/>
      <x:c r="K57" s="20"/>
      <x:c r="L57" s="20"/>
      <x:c r="M57" s="20"/>
      <x:c r="N57" s="20"/>
    </x:row>
    <x:row r="58">
      <x:c r="A58" s="20"/>
      <x:c r="B58" s="20"/>
      <x:c r="C58" s="20"/>
      <x:c r="D58" s="20"/>
      <x:c r="E58" s="20"/>
      <x:c r="F58" s="20" t="str">
        <x:f>IF(OR(D58="",E58=""),"",IF(EXACT(D58,E58),"一致","差异"))</x:f>
      </x:c>
      <x:c r="G58" s="20"/>
      <x:c r="H58" s="20"/>
      <x:c r="I58" s="20"/>
      <x:c r="J58" s="20"/>
      <x:c r="K58" s="20"/>
      <x:c r="L58" s="20"/>
      <x:c r="M58" s="20"/>
      <x:c r="N58" s="20"/>
    </x:row>
    <x:row r="59">
      <x:c r="A59" s="20"/>
      <x:c r="B59" s="20"/>
      <x:c r="C59" s="20"/>
      <x:c r="D59" s="20"/>
      <x:c r="E59" s="20"/>
      <x:c r="F59" s="20" t="str">
        <x:f>IF(OR(D59="",E59=""),"",IF(EXACT(D59,E59),"一致","差异"))</x:f>
      </x:c>
      <x:c r="G59" s="20"/>
      <x:c r="H59" s="20"/>
      <x:c r="I59" s="20"/>
      <x:c r="J59" s="20"/>
      <x:c r="K59" s="20"/>
      <x:c r="L59" s="20"/>
      <x:c r="M59" s="20"/>
      <x:c r="N59" s="20"/>
    </x:row>
    <x:row r="60">
      <x:c r="A60" s="20"/>
      <x:c r="B60" s="20"/>
      <x:c r="C60" s="20"/>
      <x:c r="D60" s="20"/>
      <x:c r="E60" s="20"/>
      <x:c r="F60" s="20" t="str">
        <x:f>IF(OR(D60="",E60=""),"",IF(EXACT(D60,E60),"一致","差异"))</x:f>
      </x:c>
      <x:c r="G60" s="20"/>
      <x:c r="H60" s="20"/>
      <x:c r="I60" s="20"/>
      <x:c r="J60" s="20"/>
      <x:c r="K60" s="20"/>
      <x:c r="L60" s="20"/>
      <x:c r="M60" s="20"/>
      <x:c r="N60" s="20"/>
    </x:row>
    <x:row r="61">
      <x:c r="A61" s="20"/>
      <x:c r="B61" s="20"/>
      <x:c r="C61" s="20"/>
      <x:c r="D61" s="20"/>
      <x:c r="E61" s="20"/>
      <x:c r="F61" s="20" t="str">
        <x:f>IF(OR(D61="",E61=""),"",IF(EXACT(D61,E61),"一致","差异"))</x:f>
      </x:c>
      <x:c r="G61" s="20"/>
      <x:c r="H61" s="20"/>
      <x:c r="I61" s="20"/>
      <x:c r="J61" s="20"/>
      <x:c r="K61" s="20"/>
      <x:c r="L61" s="20"/>
      <x:c r="M61" s="20"/>
      <x:c r="N61" s="20"/>
    </x:row>
    <x:row r="62">
      <x:c r="A62" s="20"/>
      <x:c r="B62" s="20"/>
      <x:c r="C62" s="20"/>
      <x:c r="D62" s="20"/>
      <x:c r="E62" s="20"/>
      <x:c r="F62" s="20" t="str">
        <x:f>IF(OR(D62="",E62=""),"",IF(EXACT(D62,E62),"一致","差异"))</x:f>
      </x:c>
      <x:c r="G62" s="20"/>
      <x:c r="H62" s="20"/>
      <x:c r="I62" s="20"/>
      <x:c r="J62" s="20"/>
      <x:c r="K62" s="20"/>
      <x:c r="L62" s="20"/>
      <x:c r="M62" s="20"/>
      <x:c r="N62" s="20"/>
    </x:row>
    <x:row r="63">
      <x:c r="A63" s="20"/>
      <x:c r="B63" s="20"/>
      <x:c r="C63" s="20"/>
      <x:c r="D63" s="20"/>
      <x:c r="E63" s="20"/>
      <x:c r="F63" s="20" t="str">
        <x:f>IF(OR(D63="",E63=""),"",IF(EXACT(D63,E63),"一致","差异"))</x:f>
      </x:c>
      <x:c r="G63" s="20"/>
      <x:c r="H63" s="20"/>
      <x:c r="I63" s="20"/>
      <x:c r="J63" s="20"/>
      <x:c r="K63" s="20"/>
      <x:c r="L63" s="20"/>
      <x:c r="M63" s="20"/>
      <x:c r="N63" s="20"/>
    </x:row>
    <x:row r="64">
      <x:c r="A64" s="20"/>
      <x:c r="B64" s="20"/>
      <x:c r="C64" s="20"/>
      <x:c r="D64" s="20"/>
      <x:c r="E64" s="20"/>
      <x:c r="F64" s="20" t="str">
        <x:f>IF(OR(D64="",E64=""),"",IF(EXACT(D64,E64),"一致","差异"))</x:f>
      </x:c>
      <x:c r="G64" s="20"/>
      <x:c r="H64" s="20"/>
      <x:c r="I64" s="20"/>
      <x:c r="J64" s="20"/>
      <x:c r="K64" s="20"/>
      <x:c r="L64" s="20"/>
      <x:c r="M64" s="20"/>
      <x:c r="N64" s="20"/>
    </x:row>
    <x:row r="65">
      <x:c r="A65" s="20"/>
      <x:c r="B65" s="20"/>
      <x:c r="C65" s="20"/>
      <x:c r="D65" s="20"/>
      <x:c r="E65" s="20"/>
      <x:c r="F65" s="20" t="str">
        <x:f>IF(OR(D65="",E65=""),"",IF(EXACT(D65,E65),"一致","差异"))</x:f>
      </x:c>
      <x:c r="G65" s="20"/>
      <x:c r="H65" s="20"/>
      <x:c r="I65" s="20"/>
      <x:c r="J65" s="20"/>
      <x:c r="K65" s="20"/>
      <x:c r="L65" s="20"/>
      <x:c r="M65" s="20"/>
      <x:c r="N65" s="20"/>
    </x:row>
    <x:row r="66">
      <x:c r="A66" s="20"/>
      <x:c r="B66" s="20"/>
      <x:c r="C66" s="20"/>
      <x:c r="D66" s="20"/>
      <x:c r="E66" s="20"/>
      <x:c r="F66" s="20" t="str">
        <x:f>IF(OR(D66="",E66=""),"",IF(EXACT(D66,E66),"一致","差异"))</x:f>
      </x:c>
      <x:c r="G66" s="20"/>
      <x:c r="H66" s="20"/>
      <x:c r="I66" s="20"/>
      <x:c r="J66" s="20"/>
      <x:c r="K66" s="20"/>
      <x:c r="L66" s="20"/>
      <x:c r="M66" s="20"/>
      <x:c r="N66" s="20"/>
    </x:row>
    <x:row r="67">
      <x:c r="A67" s="20"/>
      <x:c r="B67" s="20"/>
      <x:c r="C67" s="20"/>
      <x:c r="D67" s="20"/>
      <x:c r="E67" s="20"/>
      <x:c r="F67" s="20" t="str">
        <x:f>IF(OR(D67="",E67=""),"",IF(EXACT(D67,E67),"一致","差异"))</x:f>
      </x:c>
      <x:c r="G67" s="20"/>
      <x:c r="H67" s="20"/>
      <x:c r="I67" s="20"/>
      <x:c r="J67" s="20"/>
      <x:c r="K67" s="20"/>
      <x:c r="L67" s="20"/>
      <x:c r="M67" s="20"/>
      <x:c r="N67" s="20"/>
    </x:row>
    <x:row r="68">
      <x:c r="A68" s="20"/>
      <x:c r="B68" s="20"/>
      <x:c r="C68" s="20"/>
      <x:c r="D68" s="20"/>
      <x:c r="E68" s="20"/>
      <x:c r="F68" s="20" t="str">
        <x:f>IF(OR(D68="",E68=""),"",IF(EXACT(D68,E68),"一致","差异"))</x:f>
      </x:c>
      <x:c r="G68" s="20"/>
      <x:c r="H68" s="20"/>
      <x:c r="I68" s="20"/>
      <x:c r="J68" s="20"/>
      <x:c r="K68" s="20"/>
      <x:c r="L68" s="20"/>
      <x:c r="M68" s="20"/>
      <x:c r="N68" s="20"/>
    </x:row>
    <x:row r="69">
      <x:c r="A69" s="20"/>
      <x:c r="B69" s="20"/>
      <x:c r="C69" s="20"/>
      <x:c r="D69" s="20"/>
      <x:c r="E69" s="20"/>
      <x:c r="F69" s="20" t="str">
        <x:f>IF(OR(D69="",E69=""),"",IF(EXACT(D69,E69),"一致","差异"))</x:f>
      </x:c>
      <x:c r="G69" s="20"/>
      <x:c r="H69" s="20"/>
      <x:c r="I69" s="20"/>
      <x:c r="J69" s="20"/>
      <x:c r="K69" s="20"/>
      <x:c r="L69" s="20"/>
      <x:c r="M69" s="20"/>
      <x:c r="N69" s="20"/>
    </x:row>
    <x:row r="70">
      <x:c r="A70" s="20"/>
      <x:c r="B70" s="20"/>
      <x:c r="C70" s="20"/>
      <x:c r="D70" s="20"/>
      <x:c r="E70" s="20"/>
      <x:c r="F70" s="20" t="str">
        <x:f>IF(OR(D70="",E70=""),"",IF(EXACT(D70,E70),"一致","差异"))</x:f>
      </x:c>
      <x:c r="G70" s="20"/>
      <x:c r="H70" s="20"/>
      <x:c r="I70" s="20"/>
      <x:c r="J70" s="20"/>
      <x:c r="K70" s="20"/>
      <x:c r="L70" s="20"/>
      <x:c r="M70" s="20"/>
      <x:c r="N70" s="20"/>
    </x:row>
    <x:row r="71">
      <x:c r="A71" s="20"/>
      <x:c r="B71" s="20"/>
      <x:c r="C71" s="20"/>
      <x:c r="D71" s="20"/>
      <x:c r="E71" s="20"/>
      <x:c r="F71" s="20" t="str">
        <x:f>IF(OR(D71="",E71=""),"",IF(EXACT(D71,E71),"一致","差异"))</x:f>
      </x:c>
      <x:c r="G71" s="20"/>
      <x:c r="H71" s="20"/>
      <x:c r="I71" s="20"/>
      <x:c r="J71" s="20"/>
      <x:c r="K71" s="20"/>
      <x:c r="L71" s="20"/>
      <x:c r="M71" s="20"/>
      <x:c r="N71" s="20"/>
    </x:row>
    <x:row r="72">
      <x:c r="A72" s="20"/>
      <x:c r="B72" s="20"/>
      <x:c r="C72" s="20"/>
      <x:c r="D72" s="20"/>
      <x:c r="E72" s="20"/>
      <x:c r="F72" s="20" t="str">
        <x:f>IF(OR(D72="",E72=""),"",IF(EXACT(D72,E72),"一致","差异"))</x:f>
      </x:c>
      <x:c r="G72" s="20"/>
      <x:c r="H72" s="20"/>
      <x:c r="I72" s="20"/>
      <x:c r="J72" s="20"/>
      <x:c r="K72" s="20"/>
      <x:c r="L72" s="20"/>
      <x:c r="M72" s="20"/>
      <x:c r="N72" s="20"/>
    </x:row>
    <x:row r="73">
      <x:c r="A73" s="20"/>
      <x:c r="B73" s="20"/>
      <x:c r="C73" s="20"/>
      <x:c r="D73" s="20"/>
      <x:c r="E73" s="20"/>
      <x:c r="F73" s="20" t="str">
        <x:f>IF(OR(D73="",E73=""),"",IF(EXACT(D73,E73),"一致","差异"))</x:f>
      </x:c>
      <x:c r="G73" s="20"/>
      <x:c r="H73" s="20"/>
      <x:c r="I73" s="20"/>
      <x:c r="J73" s="20"/>
      <x:c r="K73" s="20"/>
      <x:c r="L73" s="20"/>
      <x:c r="M73" s="20"/>
      <x:c r="N73" s="20"/>
    </x:row>
    <x:row r="74">
      <x:c r="A74" s="20"/>
      <x:c r="B74" s="20"/>
      <x:c r="C74" s="20"/>
      <x:c r="D74" s="20"/>
      <x:c r="E74" s="20"/>
      <x:c r="F74" s="20" t="str">
        <x:f>IF(OR(D74="",E74=""),"",IF(EXACT(D74,E74),"一致","差异"))</x:f>
      </x:c>
      <x:c r="G74" s="20"/>
      <x:c r="H74" s="20"/>
      <x:c r="I74" s="20"/>
      <x:c r="J74" s="20"/>
      <x:c r="K74" s="20"/>
      <x:c r="L74" s="20"/>
      <x:c r="M74" s="20"/>
      <x:c r="N74" s="20"/>
    </x:row>
    <x:row r="75">
      <x:c r="A75" s="20"/>
      <x:c r="B75" s="20"/>
      <x:c r="C75" s="20"/>
      <x:c r="D75" s="20"/>
      <x:c r="E75" s="20"/>
      <x:c r="F75" s="20" t="str">
        <x:f>IF(OR(D75="",E75=""),"",IF(EXACT(D75,E75),"一致","差异"))</x:f>
      </x:c>
      <x:c r="G75" s="20"/>
      <x:c r="H75" s="20"/>
      <x:c r="I75" s="20"/>
      <x:c r="J75" s="20"/>
      <x:c r="K75" s="20"/>
      <x:c r="L75" s="20"/>
      <x:c r="M75" s="20"/>
      <x:c r="N75" s="20"/>
    </x:row>
    <x:row r="76">
      <x:c r="A76" s="20"/>
      <x:c r="B76" s="20"/>
      <x:c r="C76" s="20"/>
      <x:c r="D76" s="20"/>
      <x:c r="E76" s="20"/>
      <x:c r="F76" s="20" t="str">
        <x:f>IF(OR(D76="",E76=""),"",IF(EXACT(D76,E76),"一致","差异"))</x:f>
      </x:c>
      <x:c r="G76" s="20"/>
      <x:c r="H76" s="20"/>
      <x:c r="I76" s="20"/>
      <x:c r="J76" s="20"/>
      <x:c r="K76" s="20"/>
      <x:c r="L76" s="20"/>
      <x:c r="M76" s="20"/>
      <x:c r="N76" s="20"/>
    </x:row>
    <x:row r="77">
      <x:c r="A77" s="20"/>
      <x:c r="B77" s="20"/>
      <x:c r="C77" s="20"/>
      <x:c r="D77" s="20"/>
      <x:c r="E77" s="20"/>
      <x:c r="F77" s="20" t="str">
        <x:f>IF(OR(D77="",E77=""),"",IF(EXACT(D77,E77),"一致","差异"))</x:f>
      </x:c>
      <x:c r="G77" s="20"/>
      <x:c r="H77" s="20"/>
      <x:c r="I77" s="20"/>
      <x:c r="J77" s="20"/>
      <x:c r="K77" s="20"/>
      <x:c r="L77" s="20"/>
      <x:c r="M77" s="20"/>
      <x:c r="N77" s="20"/>
    </x:row>
    <x:row r="78">
      <x:c r="A78" s="20"/>
      <x:c r="B78" s="20"/>
      <x:c r="C78" s="20"/>
      <x:c r="D78" s="20"/>
      <x:c r="E78" s="20"/>
      <x:c r="F78" s="20" t="str">
        <x:f>IF(OR(D78="",E78=""),"",IF(EXACT(D78,E78),"一致","差异"))</x:f>
      </x:c>
      <x:c r="G78" s="20"/>
      <x:c r="H78" s="20"/>
      <x:c r="I78" s="20"/>
      <x:c r="J78" s="20"/>
      <x:c r="K78" s="20"/>
      <x:c r="L78" s="20"/>
      <x:c r="M78" s="20"/>
      <x:c r="N78" s="20"/>
    </x:row>
    <x:row r="79">
      <x:c r="A79" s="20"/>
      <x:c r="B79" s="20"/>
      <x:c r="C79" s="20"/>
      <x:c r="D79" s="20"/>
      <x:c r="E79" s="20"/>
      <x:c r="F79" s="20" t="str">
        <x:f>IF(OR(D79="",E79=""),"",IF(EXACT(D79,E79),"一致","差异"))</x:f>
      </x:c>
      <x:c r="G79" s="20"/>
      <x:c r="H79" s="20"/>
      <x:c r="I79" s="20"/>
      <x:c r="J79" s="20"/>
      <x:c r="K79" s="20"/>
      <x:c r="L79" s="20"/>
      <x:c r="M79" s="20"/>
      <x:c r="N79" s="20"/>
    </x:row>
    <x:row r="80">
      <x:c r="A80" s="20"/>
      <x:c r="B80" s="20"/>
      <x:c r="C80" s="20"/>
      <x:c r="D80" s="20"/>
      <x:c r="E80" s="20"/>
      <x:c r="F80" s="20" t="str">
        <x:f>IF(OR(D80="",E80=""),"",IF(EXACT(D80,E80),"一致","差异"))</x:f>
      </x:c>
      <x:c r="G80" s="20"/>
      <x:c r="H80" s="20"/>
      <x:c r="I80" s="20"/>
      <x:c r="J80" s="20"/>
      <x:c r="K80" s="20"/>
      <x:c r="L80" s="20"/>
      <x:c r="M80" s="20"/>
      <x:c r="N80" s="20"/>
    </x:row>
    <x:row r="81">
      <x:c r="A81" s="20"/>
      <x:c r="B81" s="20"/>
      <x:c r="C81" s="20"/>
      <x:c r="D81" s="20"/>
      <x:c r="E81" s="20"/>
      <x:c r="F81" s="20" t="str">
        <x:f>IF(OR(D81="",E81=""),"",IF(EXACT(D81,E81),"一致","差异"))</x:f>
      </x:c>
      <x:c r="G81" s="20"/>
      <x:c r="H81" s="20"/>
      <x:c r="I81" s="20"/>
      <x:c r="J81" s="20"/>
      <x:c r="K81" s="20"/>
      <x:c r="L81" s="20"/>
      <x:c r="M81" s="20"/>
      <x:c r="N81" s="20"/>
    </x:row>
    <x:row r="82">
      <x:c r="A82" s="20"/>
      <x:c r="B82" s="20"/>
      <x:c r="C82" s="20"/>
      <x:c r="D82" s="20"/>
      <x:c r="E82" s="20"/>
      <x:c r="F82" s="20" t="str">
        <x:f>IF(OR(D82="",E82=""),"",IF(EXACT(D82,E82),"一致","差异"))</x:f>
      </x:c>
      <x:c r="G82" s="20"/>
      <x:c r="H82" s="20"/>
      <x:c r="I82" s="20"/>
      <x:c r="J82" s="20"/>
      <x:c r="K82" s="20"/>
      <x:c r="L82" s="20"/>
      <x:c r="M82" s="20"/>
      <x:c r="N82" s="20"/>
    </x:row>
    <x:row r="83">
      <x:c r="A83" s="20"/>
      <x:c r="B83" s="20"/>
      <x:c r="C83" s="20"/>
      <x:c r="D83" s="20"/>
      <x:c r="E83" s="20"/>
      <x:c r="F83" s="20" t="str">
        <x:f>IF(OR(D83="",E83=""),"",IF(EXACT(D83,E83),"一致","差异"))</x:f>
      </x:c>
      <x:c r="G83" s="20"/>
      <x:c r="H83" s="20"/>
      <x:c r="I83" s="20"/>
      <x:c r="J83" s="20"/>
      <x:c r="K83" s="20"/>
      <x:c r="L83" s="20"/>
      <x:c r="M83" s="20"/>
      <x:c r="N83" s="20"/>
    </x:row>
    <x:row r="84">
      <x:c r="A84" s="20"/>
      <x:c r="B84" s="20"/>
      <x:c r="C84" s="20"/>
      <x:c r="D84" s="20"/>
      <x:c r="E84" s="20"/>
      <x:c r="F84" s="20" t="str">
        <x:f>IF(OR(D84="",E84=""),"",IF(EXACT(D84,E84),"一致","差异"))</x:f>
      </x:c>
      <x:c r="G84" s="20"/>
      <x:c r="H84" s="20"/>
      <x:c r="I84" s="20"/>
      <x:c r="J84" s="20"/>
      <x:c r="K84" s="20"/>
      <x:c r="L84" s="20"/>
      <x:c r="M84" s="20"/>
      <x:c r="N84" s="20"/>
    </x:row>
    <x:row r="85">
      <x:c r="A85" s="20"/>
      <x:c r="B85" s="20"/>
      <x:c r="C85" s="20"/>
      <x:c r="D85" s="20"/>
      <x:c r="E85" s="20"/>
      <x:c r="F85" s="20" t="str">
        <x:f>IF(OR(D85="",E85=""),"",IF(EXACT(D85,E85),"一致","差异"))</x:f>
      </x:c>
      <x:c r="G85" s="20"/>
      <x:c r="H85" s="20"/>
      <x:c r="I85" s="20"/>
      <x:c r="J85" s="20"/>
      <x:c r="K85" s="20"/>
      <x:c r="L85" s="20"/>
      <x:c r="M85" s="20"/>
      <x:c r="N85" s="20"/>
    </x:row>
    <x:row r="86">
      <x:c r="A86" s="20"/>
      <x:c r="B86" s="20"/>
      <x:c r="C86" s="20"/>
      <x:c r="D86" s="20"/>
      <x:c r="E86" s="20"/>
      <x:c r="F86" s="20" t="str">
        <x:f>IF(OR(D86="",E86=""),"",IF(EXACT(D86,E86),"一致","差异"))</x:f>
      </x:c>
      <x:c r="G86" s="20"/>
      <x:c r="H86" s="20"/>
      <x:c r="I86" s="20"/>
      <x:c r="J86" s="20"/>
      <x:c r="K86" s="20"/>
      <x:c r="L86" s="20"/>
      <x:c r="M86" s="20"/>
      <x:c r="N86" s="20"/>
    </x:row>
    <x:row r="87">
      <x:c r="A87" s="20"/>
      <x:c r="B87" s="20"/>
      <x:c r="C87" s="20"/>
      <x:c r="D87" s="20"/>
      <x:c r="E87" s="20"/>
      <x:c r="F87" s="20" t="str">
        <x:f>IF(OR(D87="",E87=""),"",IF(EXACT(D87,E87),"一致","差异"))</x:f>
      </x:c>
      <x:c r="G87" s="20"/>
      <x:c r="H87" s="20"/>
      <x:c r="I87" s="20"/>
      <x:c r="J87" s="20"/>
      <x:c r="K87" s="20"/>
      <x:c r="L87" s="20"/>
      <x:c r="M87" s="20"/>
      <x:c r="N87" s="20"/>
    </x:row>
    <x:row r="88">
      <x:c r="A88" s="20"/>
      <x:c r="B88" s="20"/>
      <x:c r="C88" s="20"/>
      <x:c r="D88" s="20"/>
      <x:c r="E88" s="20"/>
      <x:c r="F88" s="20" t="str">
        <x:f>IF(OR(D88="",E88=""),"",IF(EXACT(D88,E88),"一致","差异"))</x:f>
      </x:c>
      <x:c r="G88" s="20"/>
      <x:c r="H88" s="20"/>
      <x:c r="I88" s="20"/>
      <x:c r="J88" s="20"/>
      <x:c r="K88" s="20"/>
      <x:c r="L88" s="20"/>
      <x:c r="M88" s="20"/>
      <x:c r="N88" s="20"/>
    </x:row>
    <x:row r="89">
      <x:c r="A89" s="20"/>
      <x:c r="B89" s="20"/>
      <x:c r="C89" s="20"/>
      <x:c r="D89" s="20"/>
      <x:c r="E89" s="20"/>
      <x:c r="F89" s="20" t="str">
        <x:f>IF(OR(D89="",E89=""),"",IF(EXACT(D89,E89),"一致","差异"))</x:f>
      </x:c>
      <x:c r="G89" s="20"/>
      <x:c r="H89" s="20"/>
      <x:c r="I89" s="20"/>
      <x:c r="J89" s="20"/>
      <x:c r="K89" s="20"/>
      <x:c r="L89" s="20"/>
      <x:c r="M89" s="20"/>
      <x:c r="N89" s="20"/>
    </x:row>
    <x:row r="90">
      <x:c r="A90" s="20"/>
      <x:c r="B90" s="20"/>
      <x:c r="C90" s="20"/>
      <x:c r="D90" s="20"/>
      <x:c r="E90" s="20"/>
      <x:c r="F90" s="20" t="str">
        <x:f>IF(OR(D90="",E90=""),"",IF(EXACT(D90,E90),"一致","差异"))</x:f>
      </x:c>
      <x:c r="G90" s="20"/>
      <x:c r="H90" s="20"/>
      <x:c r="I90" s="20"/>
      <x:c r="J90" s="20"/>
      <x:c r="K90" s="20"/>
      <x:c r="L90" s="20"/>
      <x:c r="M90" s="20"/>
      <x:c r="N90" s="20"/>
    </x:row>
    <x:row r="91">
      <x:c r="A91" s="20"/>
      <x:c r="B91" s="20"/>
      <x:c r="C91" s="20"/>
      <x:c r="D91" s="20"/>
      <x:c r="E91" s="20"/>
      <x:c r="F91" s="20" t="str">
        <x:f>IF(OR(D91="",E91=""),"",IF(EXACT(D91,E91),"一致","差异"))</x:f>
      </x:c>
      <x:c r="G91" s="20"/>
      <x:c r="H91" s="20"/>
      <x:c r="I91" s="20"/>
      <x:c r="J91" s="20"/>
      <x:c r="K91" s="20"/>
      <x:c r="L91" s="20"/>
      <x:c r="M91" s="20"/>
      <x:c r="N91" s="20"/>
    </x:row>
    <x:row r="92">
      <x:c r="A92" s="20"/>
      <x:c r="B92" s="20"/>
      <x:c r="C92" s="20"/>
      <x:c r="D92" s="20"/>
      <x:c r="E92" s="20"/>
      <x:c r="F92" s="20" t="str">
        <x:f>IF(OR(D92="",E92=""),"",IF(EXACT(D92,E92),"一致","差异"))</x:f>
      </x:c>
      <x:c r="G92" s="20"/>
      <x:c r="H92" s="20"/>
      <x:c r="I92" s="20"/>
      <x:c r="J92" s="20"/>
      <x:c r="K92" s="20"/>
      <x:c r="L92" s="20"/>
      <x:c r="M92" s="20"/>
      <x:c r="N92" s="20"/>
    </x:row>
    <x:row r="93">
      <x:c r="A93" s="20"/>
      <x:c r="B93" s="20"/>
      <x:c r="C93" s="20"/>
      <x:c r="D93" s="20"/>
      <x:c r="E93" s="20"/>
      <x:c r="F93" s="20" t="str">
        <x:f>IF(OR(D93="",E93=""),"",IF(EXACT(D93,E93),"一致","差异"))</x:f>
      </x:c>
      <x:c r="G93" s="20"/>
      <x:c r="H93" s="20"/>
      <x:c r="I93" s="20"/>
      <x:c r="J93" s="20"/>
      <x:c r="K93" s="20"/>
      <x:c r="L93" s="20"/>
      <x:c r="M93" s="20"/>
      <x:c r="N93" s="20"/>
    </x:row>
    <x:row r="94">
      <x:c r="A94" s="20"/>
      <x:c r="B94" s="20"/>
      <x:c r="C94" s="20"/>
      <x:c r="D94" s="20"/>
      <x:c r="E94" s="20"/>
      <x:c r="F94" s="20" t="str">
        <x:f>IF(OR(D94="",E94=""),"",IF(EXACT(D94,E94),"一致","差异"))</x:f>
      </x:c>
      <x:c r="G94" s="20"/>
      <x:c r="H94" s="20"/>
      <x:c r="I94" s="20"/>
      <x:c r="J94" s="20"/>
      <x:c r="K94" s="20"/>
      <x:c r="L94" s="20"/>
      <x:c r="M94" s="20"/>
      <x:c r="N94" s="20"/>
    </x:row>
    <x:row r="95">
      <x:c r="A95" s="20"/>
      <x:c r="B95" s="20"/>
      <x:c r="C95" s="20"/>
      <x:c r="D95" s="20"/>
      <x:c r="E95" s="20"/>
      <x:c r="F95" s="20" t="str">
        <x:f>IF(OR(D95="",E95=""),"",IF(EXACT(D95,E95),"一致","差异"))</x:f>
      </x:c>
      <x:c r="G95" s="20"/>
      <x:c r="H95" s="20"/>
      <x:c r="I95" s="20"/>
      <x:c r="J95" s="20"/>
      <x:c r="K95" s="20"/>
      <x:c r="L95" s="20"/>
      <x:c r="M95" s="20"/>
      <x:c r="N95" s="20"/>
    </x:row>
    <x:row r="96">
      <x:c r="A96" s="20"/>
      <x:c r="B96" s="20"/>
      <x:c r="C96" s="20"/>
      <x:c r="D96" s="20"/>
      <x:c r="E96" s="20"/>
      <x:c r="F96" s="20" t="str">
        <x:f>IF(OR(D96="",E96=""),"",IF(EXACT(D96,E96),"一致","差异"))</x:f>
      </x:c>
      <x:c r="G96" s="20"/>
      <x:c r="H96" s="20"/>
      <x:c r="I96" s="20"/>
      <x:c r="J96" s="20"/>
      <x:c r="K96" s="20"/>
      <x:c r="L96" s="20"/>
      <x:c r="M96" s="20"/>
      <x:c r="N96" s="20"/>
    </x:row>
    <x:row r="97">
      <x:c r="A97" s="20"/>
      <x:c r="B97" s="20"/>
      <x:c r="C97" s="20"/>
      <x:c r="D97" s="20"/>
      <x:c r="E97" s="20"/>
      <x:c r="F97" s="20" t="str">
        <x:f>IF(OR(D97="",E97=""),"",IF(EXACT(D97,E97),"一致","差异"))</x:f>
      </x:c>
      <x:c r="G97" s="20"/>
      <x:c r="H97" s="20"/>
      <x:c r="I97" s="20"/>
      <x:c r="J97" s="20"/>
      <x:c r="K97" s="20"/>
      <x:c r="L97" s="20"/>
      <x:c r="M97" s="20"/>
      <x:c r="N97" s="20"/>
    </x:row>
    <x:row r="98">
      <x:c r="A98" s="20"/>
      <x:c r="B98" s="20"/>
      <x:c r="C98" s="20"/>
      <x:c r="D98" s="20"/>
      <x:c r="E98" s="20"/>
      <x:c r="F98" s="20" t="str">
        <x:f>IF(OR(D98="",E98=""),"",IF(EXACT(D98,E98),"一致","差异"))</x:f>
      </x:c>
      <x:c r="G98" s="20"/>
      <x:c r="H98" s="20"/>
      <x:c r="I98" s="20"/>
      <x:c r="J98" s="20"/>
      <x:c r="K98" s="20"/>
      <x:c r="L98" s="20"/>
      <x:c r="M98" s="20"/>
      <x:c r="N98" s="20"/>
    </x:row>
    <x:row r="99">
      <x:c r="A99" s="20"/>
      <x:c r="B99" s="20"/>
      <x:c r="C99" s="20"/>
      <x:c r="D99" s="20"/>
      <x:c r="E99" s="20"/>
      <x:c r="F99" s="20" t="str">
        <x:f>IF(OR(D99="",E99=""),"",IF(EXACT(D99,E99),"一致","差异"))</x:f>
      </x:c>
      <x:c r="G99" s="20"/>
      <x:c r="H99" s="20"/>
      <x:c r="I99" s="20"/>
      <x:c r="J99" s="20"/>
      <x:c r="K99" s="20"/>
      <x:c r="L99" s="20"/>
      <x:c r="M99" s="20"/>
      <x:c r="N99" s="20"/>
    </x:row>
    <x:row r="100">
      <x:c r="A100" s="20"/>
      <x:c r="B100" s="20"/>
      <x:c r="C100" s="20"/>
      <x:c r="D100" s="20"/>
      <x:c r="E100" s="20"/>
      <x:c r="F100" s="20" t="str">
        <x:f>IF(OR(D100="",E100=""),"",IF(EXACT(D100,E100),"一致","差异"))</x:f>
      </x:c>
      <x:c r="G100" s="20"/>
      <x:c r="H100" s="20"/>
      <x:c r="I100" s="20"/>
      <x:c r="J100" s="20"/>
      <x:c r="K100" s="20"/>
      <x:c r="L100" s="20"/>
      <x:c r="M100" s="20"/>
      <x:c r="N100" s="20"/>
    </x:row>
    <x:row r="101">
      <x:c r="A101" s="20"/>
      <x:c r="B101" s="20"/>
      <x:c r="C101" s="20"/>
      <x:c r="D101" s="20"/>
      <x:c r="E101" s="20"/>
      <x:c r="F101" s="20" t="str">
        <x:f>IF(OR(D101="",E101=""),"",IF(EXACT(D101,E101),"一致","差异"))</x:f>
      </x:c>
      <x:c r="G101" s="20"/>
      <x:c r="H101" s="20"/>
      <x:c r="I101" s="20"/>
      <x:c r="J101" s="20"/>
      <x:c r="K101" s="20"/>
      <x:c r="L101" s="20"/>
      <x:c r="M101" s="20"/>
      <x:c r="N101" s="20"/>
    </x:row>
    <x:row r="102">
      <x:c r="A102" s="20"/>
      <x:c r="B102" s="20"/>
      <x:c r="C102" s="20"/>
      <x:c r="D102" s="20"/>
      <x:c r="E102" s="20"/>
      <x:c r="F102" s="20" t="str">
        <x:f>IF(OR(D102="",E102=""),"",IF(EXACT(D102,E102),"一致","差异"))</x:f>
      </x:c>
      <x:c r="G102" s="20"/>
      <x:c r="H102" s="20"/>
      <x:c r="I102" s="20"/>
      <x:c r="J102" s="20"/>
      <x:c r="K102" s="20"/>
      <x:c r="L102" s="20"/>
      <x:c r="M102" s="20"/>
      <x:c r="N102" s="20"/>
    </x:row>
    <x:row r="103">
      <x:c r="A103" s="20"/>
      <x:c r="B103" s="20"/>
      <x:c r="C103" s="20"/>
      <x:c r="D103" s="20"/>
      <x:c r="E103" s="20"/>
      <x:c r="F103" s="20" t="str">
        <x:f>IF(OR(D103="",E103=""),"",IF(EXACT(D103,E103),"一致","差异"))</x:f>
      </x:c>
      <x:c r="G103" s="20"/>
      <x:c r="H103" s="20"/>
      <x:c r="I103" s="20"/>
      <x:c r="J103" s="20"/>
      <x:c r="K103" s="20"/>
      <x:c r="L103" s="20"/>
      <x:c r="M103" s="20"/>
      <x:c r="N103" s="20"/>
    </x:row>
    <x:row r="104">
      <x:c r="A104" s="20"/>
      <x:c r="B104" s="20"/>
      <x:c r="C104" s="20"/>
      <x:c r="D104" s="20"/>
      <x:c r="E104" s="20"/>
      <x:c r="F104" s="20" t="str">
        <x:f>IF(OR(D104="",E104=""),"",IF(EXACT(D104,E104),"一致","差异"))</x:f>
      </x:c>
      <x:c r="G104" s="20"/>
      <x:c r="H104" s="20"/>
      <x:c r="I104" s="20"/>
      <x:c r="J104" s="20"/>
      <x:c r="K104" s="20"/>
      <x:c r="L104" s="20"/>
      <x:c r="M104" s="20"/>
      <x:c r="N104" s="20"/>
    </x:row>
    <x:row r="105">
      <x:c r="A105" s="20"/>
      <x:c r="B105" s="20"/>
      <x:c r="C105" s="20"/>
      <x:c r="D105" s="20"/>
      <x:c r="E105" s="20"/>
      <x:c r="F105" s="20" t="str">
        <x:f>IF(OR(D105="",E105=""),"",IF(EXACT(D105,E105),"一致","差异"))</x:f>
      </x:c>
      <x:c r="G105" s="20"/>
      <x:c r="H105" s="20"/>
      <x:c r="I105" s="20"/>
      <x:c r="J105" s="20"/>
      <x:c r="K105" s="20"/>
      <x:c r="L105" s="20"/>
      <x:c r="M105" s="20"/>
      <x:c r="N105" s="20"/>
    </x:row>
    <x:row r="106">
      <x:c r="A106" s="20"/>
      <x:c r="B106" s="20"/>
      <x:c r="C106" s="20"/>
      <x:c r="D106" s="20"/>
      <x:c r="E106" s="20"/>
      <x:c r="F106" s="20" t="str">
        <x:f>IF(OR(D106="",E106=""),"",IF(EXACT(D106,E106),"一致","差异"))</x:f>
      </x:c>
      <x:c r="G106" s="20"/>
      <x:c r="H106" s="20"/>
      <x:c r="I106" s="20"/>
      <x:c r="J106" s="20"/>
      <x:c r="K106" s="20"/>
      <x:c r="L106" s="20"/>
      <x:c r="M106" s="20"/>
      <x:c r="N106" s="20"/>
    </x:row>
    <x:row r="107">
      <x:c r="A107" s="20"/>
      <x:c r="B107" s="20"/>
      <x:c r="C107" s="20"/>
      <x:c r="D107" s="20"/>
      <x:c r="E107" s="20"/>
      <x:c r="F107" s="20" t="str">
        <x:f>IF(OR(D107="",E107=""),"",IF(EXACT(D107,E107),"一致","差异"))</x:f>
      </x:c>
      <x:c r="G107" s="20"/>
      <x:c r="H107" s="20"/>
      <x:c r="I107" s="20"/>
      <x:c r="J107" s="20"/>
      <x:c r="K107" s="20"/>
      <x:c r="L107" s="20"/>
      <x:c r="M107" s="20"/>
      <x:c r="N107" s="20"/>
    </x:row>
    <x:row r="108">
      <x:c r="A108" s="20"/>
      <x:c r="B108" s="20"/>
      <x:c r="C108" s="20"/>
      <x:c r="D108" s="20"/>
      <x:c r="E108" s="20"/>
      <x:c r="F108" s="20" t="str">
        <x:f>IF(OR(D108="",E108=""),"",IF(EXACT(D108,E108),"一致","差异"))</x:f>
      </x:c>
      <x:c r="G108" s="20"/>
      <x:c r="H108" s="20"/>
      <x:c r="I108" s="20"/>
      <x:c r="J108" s="20"/>
      <x:c r="K108" s="20"/>
      <x:c r="L108" s="20"/>
      <x:c r="M108" s="20"/>
      <x:c r="N108" s="20"/>
    </x:row>
    <x:row r="109">
      <x:c r="A109" s="20"/>
      <x:c r="B109" s="20"/>
      <x:c r="C109" s="20"/>
      <x:c r="D109" s="20"/>
      <x:c r="E109" s="20"/>
      <x:c r="F109" s="20" t="str">
        <x:f>IF(OR(D109="",E109=""),"",IF(EXACT(D109,E109),"一致","差异"))</x:f>
      </x:c>
      <x:c r="G109" s="20"/>
      <x:c r="H109" s="20"/>
      <x:c r="I109" s="20"/>
      <x:c r="J109" s="20"/>
      <x:c r="K109" s="20"/>
      <x:c r="L109" s="20"/>
      <x:c r="M109" s="20"/>
      <x:c r="N109" s="20"/>
    </x:row>
    <x:row r="110">
      <x:c r="A110" s="20"/>
      <x:c r="B110" s="20"/>
      <x:c r="C110" s="20"/>
      <x:c r="D110" s="20"/>
      <x:c r="E110" s="20"/>
      <x:c r="F110" s="20" t="str">
        <x:f>IF(OR(D110="",E110=""),"",IF(EXACT(D110,E110),"一致","差异"))</x:f>
      </x:c>
      <x:c r="G110" s="20"/>
      <x:c r="H110" s="20"/>
      <x:c r="I110" s="20"/>
      <x:c r="J110" s="20"/>
      <x:c r="K110" s="20"/>
      <x:c r="L110" s="20"/>
      <x:c r="M110" s="20"/>
      <x:c r="N110" s="20"/>
    </x:row>
    <x:row r="111">
      <x:c r="A111" s="20"/>
      <x:c r="B111" s="20"/>
      <x:c r="C111" s="20"/>
      <x:c r="D111" s="20"/>
      <x:c r="E111" s="20"/>
      <x:c r="F111" s="20" t="str">
        <x:f>IF(OR(D111="",E111=""),"",IF(EXACT(D111,E111),"一致","差异"))</x:f>
      </x:c>
      <x:c r="G111" s="20"/>
      <x:c r="H111" s="20"/>
      <x:c r="I111" s="20"/>
      <x:c r="J111" s="20"/>
      <x:c r="K111" s="20"/>
      <x:c r="L111" s="20"/>
      <x:c r="M111" s="20"/>
      <x:c r="N111" s="20"/>
    </x:row>
    <x:row r="112">
      <x:c r="A112" s="20"/>
      <x:c r="B112" s="20"/>
      <x:c r="C112" s="20"/>
      <x:c r="D112" s="20"/>
      <x:c r="E112" s="20"/>
      <x:c r="F112" s="20" t="str">
        <x:f>IF(OR(D112="",E112=""),"",IF(EXACT(D112,E112),"一致","差异"))</x:f>
      </x:c>
      <x:c r="G112" s="20"/>
      <x:c r="H112" s="20"/>
      <x:c r="I112" s="20"/>
      <x:c r="J112" s="20"/>
      <x:c r="K112" s="20"/>
      <x:c r="L112" s="20"/>
      <x:c r="M112" s="20"/>
      <x:c r="N112" s="20"/>
    </x:row>
    <x:row r="113">
      <x:c r="A113" s="20"/>
      <x:c r="B113" s="20"/>
      <x:c r="C113" s="20"/>
      <x:c r="D113" s="20"/>
      <x:c r="E113" s="20"/>
      <x:c r="F113" s="20" t="str">
        <x:f>IF(OR(D113="",E113=""),"",IF(EXACT(D113,E113),"一致","差异"))</x:f>
      </x:c>
      <x:c r="G113" s="20"/>
      <x:c r="H113" s="20"/>
      <x:c r="I113" s="20"/>
      <x:c r="J113" s="20"/>
      <x:c r="K113" s="20"/>
      <x:c r="L113" s="20"/>
      <x:c r="M113" s="20"/>
      <x:c r="N113" s="20"/>
    </x:row>
    <x:row r="114">
      <x:c r="A114" s="20"/>
      <x:c r="B114" s="20"/>
      <x:c r="C114" s="20"/>
      <x:c r="D114" s="20"/>
      <x:c r="E114" s="20"/>
      <x:c r="F114" s="20" t="str">
        <x:f>IF(OR(D114="",E114=""),"",IF(EXACT(D114,E114),"一致","差异"))</x:f>
      </x:c>
      <x:c r="G114" s="20"/>
      <x:c r="H114" s="20"/>
      <x:c r="I114" s="20"/>
      <x:c r="J114" s="20"/>
      <x:c r="K114" s="20"/>
      <x:c r="L114" s="20"/>
      <x:c r="M114" s="20"/>
      <x:c r="N114" s="20"/>
    </x:row>
    <x:row r="115">
      <x:c r="A115" s="20"/>
      <x:c r="B115" s="20"/>
      <x:c r="C115" s="20"/>
      <x:c r="D115" s="20"/>
      <x:c r="E115" s="20"/>
      <x:c r="F115" s="20" t="str">
        <x:f>IF(OR(D115="",E115=""),"",IF(EXACT(D115,E115),"一致","差异"))</x:f>
      </x:c>
      <x:c r="G115" s="20"/>
      <x:c r="H115" s="20"/>
      <x:c r="I115" s="20"/>
      <x:c r="J115" s="20"/>
      <x:c r="K115" s="20"/>
      <x:c r="L115" s="20"/>
      <x:c r="M115" s="20"/>
      <x:c r="N115" s="20"/>
    </x:row>
    <x:row r="116">
      <x:c r="A116" s="20"/>
      <x:c r="B116" s="20"/>
      <x:c r="C116" s="20"/>
      <x:c r="D116" s="20"/>
      <x:c r="E116" s="20"/>
      <x:c r="F116" s="20" t="str">
        <x:f>IF(OR(D116="",E116=""),"",IF(EXACT(D116,E116),"一致","差异"))</x:f>
      </x:c>
      <x:c r="G116" s="20"/>
      <x:c r="H116" s="20"/>
      <x:c r="I116" s="20"/>
      <x:c r="J116" s="20"/>
      <x:c r="K116" s="20"/>
      <x:c r="L116" s="20"/>
      <x:c r="M116" s="20"/>
      <x:c r="N116" s="20"/>
    </x:row>
    <x:row r="117">
      <x:c r="A117" s="20"/>
      <x:c r="B117" s="20"/>
      <x:c r="C117" s="20"/>
      <x:c r="D117" s="20"/>
      <x:c r="E117" s="20"/>
      <x:c r="F117" s="20" t="str">
        <x:f>IF(OR(D117="",E117=""),"",IF(EXACT(D117,E117),"一致","差异"))</x:f>
      </x:c>
      <x:c r="G117" s="20"/>
      <x:c r="H117" s="20"/>
      <x:c r="I117" s="20"/>
      <x:c r="J117" s="20"/>
      <x:c r="K117" s="20"/>
      <x:c r="L117" s="20"/>
      <x:c r="M117" s="20"/>
      <x:c r="N117" s="20"/>
    </x:row>
    <x:row r="118">
      <x:c r="A118" s="20"/>
      <x:c r="B118" s="20"/>
      <x:c r="C118" s="20"/>
      <x:c r="D118" s="20"/>
      <x:c r="E118" s="20"/>
      <x:c r="F118" s="20" t="str">
        <x:f>IF(OR(D118="",E118=""),"",IF(EXACT(D118,E118),"一致","差异"))</x:f>
      </x:c>
      <x:c r="G118" s="20"/>
      <x:c r="H118" s="20"/>
      <x:c r="I118" s="20"/>
      <x:c r="J118" s="20"/>
      <x:c r="K118" s="20"/>
      <x:c r="L118" s="20"/>
      <x:c r="M118" s="20"/>
      <x:c r="N118" s="20"/>
    </x:row>
    <x:row r="119">
      <x:c r="A119" s="20"/>
      <x:c r="B119" s="20"/>
      <x:c r="C119" s="20"/>
      <x:c r="D119" s="20"/>
      <x:c r="E119" s="20"/>
      <x:c r="F119" s="20" t="str">
        <x:f>IF(OR(D119="",E119=""),"",IF(EXACT(D119,E119),"一致","差异"))</x:f>
      </x:c>
      <x:c r="G119" s="20"/>
      <x:c r="H119" s="20"/>
      <x:c r="I119" s="20"/>
      <x:c r="J119" s="20"/>
      <x:c r="K119" s="20"/>
      <x:c r="L119" s="20"/>
      <x:c r="M119" s="20"/>
      <x:c r="N119" s="20"/>
    </x:row>
    <x:row r="120">
      <x:c r="A120" s="20"/>
      <x:c r="B120" s="20"/>
      <x:c r="C120" s="20"/>
      <x:c r="D120" s="20"/>
      <x:c r="E120" s="20"/>
      <x:c r="F120" s="20" t="str">
        <x:f>IF(OR(D120="",E120=""),"",IF(EXACT(D120,E120),"一致","差异"))</x:f>
      </x:c>
      <x:c r="G120" s="20"/>
      <x:c r="H120" s="20"/>
      <x:c r="I120" s="20"/>
      <x:c r="J120" s="20"/>
      <x:c r="K120" s="20"/>
      <x:c r="L120" s="20"/>
      <x:c r="M120" s="20"/>
      <x:c r="N120" s="20"/>
    </x:row>
    <x:row r="121">
      <x:c r="A121" s="20"/>
      <x:c r="B121" s="20"/>
      <x:c r="C121" s="20"/>
      <x:c r="D121" s="20"/>
      <x:c r="E121" s="20"/>
      <x:c r="F121" s="20" t="str">
        <x:f>IF(OR(D121="",E121=""),"",IF(EXACT(D121,E121),"一致","差异"))</x:f>
      </x:c>
      <x:c r="G121" s="20"/>
      <x:c r="H121" s="20"/>
      <x:c r="I121" s="20"/>
      <x:c r="J121" s="20"/>
      <x:c r="K121" s="20"/>
      <x:c r="L121" s="20"/>
      <x:c r="M121" s="20"/>
      <x:c r="N121" s="20"/>
    </x:row>
    <x:row r="122">
      <x:c r="A122" s="20"/>
      <x:c r="B122" s="20"/>
      <x:c r="C122" s="20"/>
      <x:c r="D122" s="20"/>
      <x:c r="E122" s="20"/>
      <x:c r="F122" s="20" t="str">
        <x:f>IF(OR(D122="",E122=""),"",IF(EXACT(D122,E122),"一致","差异"))</x:f>
      </x:c>
      <x:c r="G122" s="20"/>
      <x:c r="H122" s="20"/>
      <x:c r="I122" s="20"/>
      <x:c r="J122" s="20"/>
      <x:c r="K122" s="20"/>
      <x:c r="L122" s="20"/>
      <x:c r="M122" s="20"/>
      <x:c r="N122" s="20"/>
    </x:row>
    <x:row r="123">
      <x:c r="A123" s="20"/>
      <x:c r="B123" s="20"/>
      <x:c r="C123" s="20"/>
      <x:c r="D123" s="20"/>
      <x:c r="E123" s="20"/>
      <x:c r="F123" s="20" t="str">
        <x:f>IF(OR(D123="",E123=""),"",IF(EXACT(D123,E123),"一致","差异"))</x:f>
      </x:c>
      <x:c r="G123" s="20"/>
      <x:c r="H123" s="20"/>
      <x:c r="I123" s="20"/>
      <x:c r="J123" s="20"/>
      <x:c r="K123" s="20"/>
      <x:c r="L123" s="20"/>
      <x:c r="M123" s="20"/>
      <x:c r="N123" s="20"/>
    </x:row>
    <x:row r="124">
      <x:c r="A124" s="20"/>
      <x:c r="B124" s="20"/>
      <x:c r="C124" s="20"/>
      <x:c r="D124" s="20"/>
      <x:c r="E124" s="20"/>
      <x:c r="F124" s="20" t="str">
        <x:f>IF(OR(D124="",E124=""),"",IF(EXACT(D124,E124),"一致","差异"))</x:f>
      </x:c>
      <x:c r="G124" s="20"/>
      <x:c r="H124" s="20"/>
      <x:c r="I124" s="20"/>
      <x:c r="J124" s="20"/>
      <x:c r="K124" s="20"/>
      <x:c r="L124" s="20"/>
      <x:c r="M124" s="20"/>
      <x:c r="N124" s="20"/>
    </x:row>
    <x:row r="125">
      <x:c r="A125" s="20"/>
      <x:c r="B125" s="20"/>
      <x:c r="C125" s="20"/>
      <x:c r="D125" s="20"/>
      <x:c r="E125" s="20"/>
      <x:c r="F125" s="20" t="str">
        <x:f>IF(OR(D125="",E125=""),"",IF(EXACT(D125,E125),"一致","差异"))</x:f>
      </x:c>
      <x:c r="G125" s="20"/>
      <x:c r="H125" s="20"/>
      <x:c r="I125" s="20"/>
      <x:c r="J125" s="20"/>
      <x:c r="K125" s="20"/>
      <x:c r="L125" s="20"/>
      <x:c r="M125" s="20"/>
      <x:c r="N125" s="20"/>
    </x:row>
    <x:row r="126">
      <x:c r="A126" s="20"/>
      <x:c r="B126" s="20"/>
      <x:c r="C126" s="20"/>
      <x:c r="D126" s="20"/>
      <x:c r="E126" s="20"/>
      <x:c r="F126" s="20" t="str">
        <x:f>IF(OR(D126="",E126=""),"",IF(EXACT(D126,E126),"一致","差异"))</x:f>
      </x:c>
      <x:c r="G126" s="20"/>
      <x:c r="H126" s="20"/>
      <x:c r="I126" s="20"/>
      <x:c r="J126" s="20"/>
      <x:c r="K126" s="20"/>
      <x:c r="L126" s="20"/>
      <x:c r="M126" s="20"/>
      <x:c r="N126" s="20"/>
    </x:row>
    <x:row r="127">
      <x:c r="A127" s="20"/>
      <x:c r="B127" s="20"/>
      <x:c r="C127" s="20"/>
      <x:c r="D127" s="20"/>
      <x:c r="E127" s="20"/>
      <x:c r="F127" s="20" t="str">
        <x:f>IF(OR(D127="",E127=""),"",IF(EXACT(D127,E127),"一致","差异"))</x:f>
      </x:c>
      <x:c r="G127" s="20"/>
      <x:c r="H127" s="20"/>
      <x:c r="I127" s="20"/>
      <x:c r="J127" s="20"/>
      <x:c r="K127" s="20"/>
      <x:c r="L127" s="20"/>
      <x:c r="M127" s="20"/>
      <x:c r="N127" s="20"/>
    </x:row>
    <x:row r="128">
      <x:c r="A128" s="20"/>
      <x:c r="B128" s="20"/>
      <x:c r="C128" s="20"/>
      <x:c r="D128" s="20"/>
      <x:c r="E128" s="20"/>
      <x:c r="F128" s="20" t="str">
        <x:f>IF(OR(D128="",E128=""),"",IF(EXACT(D128,E128),"一致","差异"))</x:f>
      </x:c>
      <x:c r="G128" s="20"/>
      <x:c r="H128" s="20"/>
      <x:c r="I128" s="20"/>
      <x:c r="J128" s="20"/>
      <x:c r="K128" s="20"/>
      <x:c r="L128" s="20"/>
      <x:c r="M128" s="20"/>
      <x:c r="N128" s="20"/>
    </x:row>
    <x:row r="129">
      <x:c r="A129" s="20"/>
      <x:c r="B129" s="20"/>
      <x:c r="C129" s="20"/>
      <x:c r="D129" s="20"/>
      <x:c r="E129" s="20"/>
      <x:c r="F129" s="20" t="str">
        <x:f>IF(OR(D129="",E129=""),"",IF(EXACT(D129,E129),"一致","差异"))</x:f>
      </x:c>
      <x:c r="G129" s="20"/>
      <x:c r="H129" s="20"/>
      <x:c r="I129" s="20"/>
      <x:c r="J129" s="20"/>
      <x:c r="K129" s="20"/>
      <x:c r="L129" s="20"/>
      <x:c r="M129" s="20"/>
      <x:c r="N129" s="20"/>
    </x:row>
    <x:row r="130">
      <x:c r="A130" s="20"/>
      <x:c r="B130" s="20"/>
      <x:c r="C130" s="20"/>
      <x:c r="D130" s="20"/>
      <x:c r="E130" s="20"/>
      <x:c r="F130" s="20" t="str">
        <x:f>IF(OR(D130="",E130=""),"",IF(EXACT(D130,E130),"一致","差异"))</x:f>
      </x:c>
      <x:c r="G130" s="20"/>
      <x:c r="H130" s="20"/>
      <x:c r="I130" s="20"/>
      <x:c r="J130" s="20"/>
      <x:c r="K130" s="20"/>
      <x:c r="L130" s="20"/>
      <x:c r="M130" s="20"/>
      <x:c r="N130" s="20"/>
    </x:row>
    <x:row r="131">
      <x:c r="A131" s="20"/>
      <x:c r="B131" s="20"/>
      <x:c r="C131" s="20"/>
      <x:c r="D131" s="20"/>
      <x:c r="E131" s="20"/>
      <x:c r="F131" s="20" t="str">
        <x:f>IF(OR(D131="",E131=""),"",IF(EXACT(D131,E131),"一致","差异"))</x:f>
      </x:c>
      <x:c r="G131" s="20"/>
      <x:c r="H131" s="20"/>
      <x:c r="I131" s="20"/>
      <x:c r="J131" s="20"/>
      <x:c r="K131" s="20"/>
      <x:c r="L131" s="20"/>
      <x:c r="M131" s="20"/>
      <x:c r="N131" s="20"/>
    </x:row>
    <x:row r="132">
      <x:c r="A132" s="20"/>
      <x:c r="B132" s="20"/>
      <x:c r="C132" s="20"/>
      <x:c r="D132" s="20"/>
      <x:c r="E132" s="20"/>
      <x:c r="F132" s="20" t="str">
        <x:f>IF(OR(D132="",E132=""),"",IF(EXACT(D132,E132),"一致","差异"))</x:f>
      </x:c>
      <x:c r="G132" s="20"/>
      <x:c r="H132" s="20"/>
      <x:c r="I132" s="20"/>
      <x:c r="J132" s="20"/>
      <x:c r="K132" s="20"/>
      <x:c r="L132" s="20"/>
      <x:c r="M132" s="20"/>
      <x:c r="N132" s="20"/>
    </x:row>
    <x:row r="133">
      <x:c r="A133" s="20"/>
      <x:c r="B133" s="20"/>
      <x:c r="C133" s="20"/>
      <x:c r="D133" s="20"/>
      <x:c r="E133" s="20"/>
      <x:c r="F133" s="20" t="str">
        <x:f>IF(OR(D133="",E133=""),"",IF(EXACT(D133,E133),"一致","差异"))</x:f>
      </x:c>
      <x:c r="G133" s="20"/>
      <x:c r="H133" s="20"/>
      <x:c r="I133" s="20"/>
      <x:c r="J133" s="20"/>
      <x:c r="K133" s="20"/>
      <x:c r="L133" s="20"/>
      <x:c r="M133" s="20"/>
      <x:c r="N133" s="20"/>
    </x:row>
    <x:row r="134">
      <x:c r="A134" s="20"/>
      <x:c r="B134" s="20"/>
      <x:c r="C134" s="20"/>
      <x:c r="D134" s="20"/>
      <x:c r="E134" s="20"/>
      <x:c r="F134" s="20" t="str">
        <x:f>IF(OR(D134="",E134=""),"",IF(EXACT(D134,E134),"一致","差异"))</x:f>
      </x:c>
      <x:c r="G134" s="20"/>
      <x:c r="H134" s="20"/>
      <x:c r="I134" s="20"/>
      <x:c r="J134" s="20"/>
      <x:c r="K134" s="20"/>
      <x:c r="L134" s="20"/>
      <x:c r="M134" s="20"/>
      <x:c r="N134" s="20"/>
    </x:row>
    <x:row r="135">
      <x:c r="A135" s="20"/>
      <x:c r="B135" s="20"/>
      <x:c r="C135" s="20"/>
      <x:c r="D135" s="20"/>
      <x:c r="E135" s="20"/>
      <x:c r="F135" s="20" t="str">
        <x:f>IF(OR(D135="",E135=""),"",IF(EXACT(D135,E135),"一致","差异"))</x:f>
      </x:c>
      <x:c r="G135" s="20"/>
      <x:c r="H135" s="20"/>
      <x:c r="I135" s="20"/>
      <x:c r="J135" s="20"/>
      <x:c r="K135" s="20"/>
      <x:c r="L135" s="20"/>
      <x:c r="M135" s="20"/>
      <x:c r="N135" s="20"/>
    </x:row>
    <x:row r="136">
      <x:c r="A136" s="20"/>
      <x:c r="B136" s="20"/>
      <x:c r="C136" s="20"/>
      <x:c r="D136" s="20"/>
      <x:c r="E136" s="20"/>
      <x:c r="F136" s="20" t="str">
        <x:f>IF(OR(D136="",E136=""),"",IF(EXACT(D136,E136),"一致","差异"))</x:f>
      </x:c>
      <x:c r="G136" s="20"/>
      <x:c r="H136" s="20"/>
      <x:c r="I136" s="20"/>
      <x:c r="J136" s="20"/>
      <x:c r="K136" s="20"/>
      <x:c r="L136" s="20"/>
      <x:c r="M136" s="20"/>
      <x:c r="N136" s="20"/>
    </x:row>
    <x:row r="137">
      <x:c r="A137" s="20"/>
      <x:c r="B137" s="20"/>
      <x:c r="C137" s="20"/>
      <x:c r="D137" s="20"/>
      <x:c r="E137" s="20"/>
      <x:c r="F137" s="20" t="str">
        <x:f>IF(OR(D137="",E137=""),"",IF(EXACT(D137,E137),"一致","差异"))</x:f>
      </x:c>
      <x:c r="G137" s="20"/>
      <x:c r="H137" s="20"/>
      <x:c r="I137" s="20"/>
      <x:c r="J137" s="20"/>
      <x:c r="K137" s="20"/>
      <x:c r="L137" s="20"/>
      <x:c r="M137" s="20"/>
      <x:c r="N137" s="20"/>
    </x:row>
    <x:row r="138">
      <x:c r="A138" s="20"/>
      <x:c r="B138" s="20"/>
      <x:c r="C138" s="20"/>
      <x:c r="D138" s="20"/>
      <x:c r="E138" s="20"/>
      <x:c r="F138" s="20" t="str">
        <x:f>IF(OR(D138="",E138=""),"",IF(EXACT(D138,E138),"一致","差异"))</x:f>
      </x:c>
      <x:c r="G138" s="20"/>
      <x:c r="H138" s="20"/>
      <x:c r="I138" s="20"/>
      <x:c r="J138" s="20"/>
      <x:c r="K138" s="20"/>
      <x:c r="L138" s="20"/>
      <x:c r="M138" s="20"/>
      <x:c r="N138" s="20"/>
    </x:row>
    <x:row r="139">
      <x:c r="A139" s="20"/>
      <x:c r="B139" s="20"/>
      <x:c r="C139" s="20"/>
      <x:c r="D139" s="20"/>
      <x:c r="E139" s="20"/>
      <x:c r="F139" s="20" t="str">
        <x:f>IF(OR(D139="",E139=""),"",IF(EXACT(D139,E139),"一致","差异"))</x:f>
      </x:c>
      <x:c r="G139" s="20"/>
      <x:c r="H139" s="20"/>
      <x:c r="I139" s="20"/>
      <x:c r="J139" s="20"/>
      <x:c r="K139" s="20"/>
      <x:c r="L139" s="20"/>
      <x:c r="M139" s="20"/>
      <x:c r="N139" s="20"/>
    </x:row>
    <x:row r="140">
      <x:c r="A140" s="20"/>
      <x:c r="B140" s="20"/>
      <x:c r="C140" s="20"/>
      <x:c r="D140" s="20"/>
      <x:c r="E140" s="20"/>
      <x:c r="F140" s="20" t="str">
        <x:f>IF(OR(D140="",E140=""),"",IF(EXACT(D140,E140),"一致","差异"))</x:f>
      </x:c>
      <x:c r="G140" s="20"/>
      <x:c r="H140" s="20"/>
      <x:c r="I140" s="20"/>
      <x:c r="J140" s="20"/>
      <x:c r="K140" s="20"/>
      <x:c r="L140" s="20"/>
      <x:c r="M140" s="20"/>
      <x:c r="N140" s="20"/>
    </x:row>
    <x:row r="141">
      <x:c r="A141" s="20"/>
      <x:c r="B141" s="20"/>
      <x:c r="C141" s="20"/>
      <x:c r="D141" s="20"/>
      <x:c r="E141" s="20"/>
      <x:c r="F141" s="20" t="str">
        <x:f>IF(OR(D141="",E141=""),"",IF(EXACT(D141,E141),"一致","差异"))</x:f>
      </x:c>
      <x:c r="G141" s="20"/>
      <x:c r="H141" s="20"/>
      <x:c r="I141" s="20"/>
      <x:c r="J141" s="20"/>
      <x:c r="K141" s="20"/>
      <x:c r="L141" s="20"/>
      <x:c r="M141" s="20"/>
      <x:c r="N141" s="20"/>
    </x:row>
    <x:row r="142">
      <x:c r="A142" s="20"/>
      <x:c r="B142" s="20"/>
      <x:c r="C142" s="20"/>
      <x:c r="D142" s="20"/>
      <x:c r="E142" s="20"/>
      <x:c r="F142" s="20" t="str">
        <x:f>IF(OR(D142="",E142=""),"",IF(EXACT(D142,E142),"一致","差异"))</x:f>
      </x:c>
      <x:c r="G142" s="20"/>
      <x:c r="H142" s="20"/>
      <x:c r="I142" s="20"/>
      <x:c r="J142" s="20"/>
      <x:c r="K142" s="20"/>
      <x:c r="L142" s="20"/>
      <x:c r="M142" s="20"/>
      <x:c r="N142" s="20"/>
    </x:row>
    <x:row r="143">
      <x:c r="A143" s="20"/>
      <x:c r="B143" s="20"/>
      <x:c r="C143" s="20"/>
      <x:c r="D143" s="20"/>
      <x:c r="E143" s="20"/>
      <x:c r="F143" s="20" t="str">
        <x:f>IF(OR(D143="",E143=""),"",IF(EXACT(D143,E143),"一致","差异"))</x:f>
      </x:c>
      <x:c r="G143" s="20"/>
      <x:c r="H143" s="20"/>
      <x:c r="I143" s="20"/>
      <x:c r="J143" s="20"/>
      <x:c r="K143" s="20"/>
      <x:c r="L143" s="20"/>
      <x:c r="M143" s="20"/>
      <x:c r="N143" s="20"/>
    </x:row>
    <x:row r="144">
      <x:c r="A144" s="20"/>
      <x:c r="B144" s="20"/>
      <x:c r="C144" s="20"/>
      <x:c r="D144" s="20"/>
      <x:c r="E144" s="20"/>
      <x:c r="F144" s="20" t="str">
        <x:f>IF(OR(D144="",E144=""),"",IF(EXACT(D144,E144),"一致","差异"))</x:f>
      </x:c>
      <x:c r="G144" s="20"/>
      <x:c r="H144" s="20"/>
      <x:c r="I144" s="20"/>
      <x:c r="J144" s="20"/>
      <x:c r="K144" s="20"/>
      <x:c r="L144" s="20"/>
      <x:c r="M144" s="20"/>
      <x:c r="N144" s="20"/>
    </x:row>
    <x:row r="145">
      <x:c r="A145" s="20"/>
      <x:c r="B145" s="20"/>
      <x:c r="C145" s="20"/>
      <x:c r="D145" s="20"/>
      <x:c r="E145" s="20"/>
      <x:c r="F145" s="20" t="str">
        <x:f>IF(OR(D145="",E145=""),"",IF(EXACT(D145,E145),"一致","差异"))</x:f>
      </x:c>
      <x:c r="G145" s="20"/>
      <x:c r="H145" s="20"/>
      <x:c r="I145" s="20"/>
      <x:c r="J145" s="20"/>
      <x:c r="K145" s="20"/>
      <x:c r="L145" s="20"/>
      <x:c r="M145" s="20"/>
      <x:c r="N145" s="20"/>
    </x:row>
    <x:row r="146">
      <x:c r="A146" s="20"/>
      <x:c r="B146" s="20"/>
      <x:c r="C146" s="20"/>
      <x:c r="D146" s="20"/>
      <x:c r="E146" s="20"/>
      <x:c r="F146" s="20" t="str">
        <x:f>IF(OR(D146="",E146=""),"",IF(EXACT(D146,E146),"一致","差异"))</x:f>
      </x:c>
      <x:c r="G146" s="20"/>
      <x:c r="H146" s="20"/>
      <x:c r="I146" s="20"/>
      <x:c r="J146" s="20"/>
      <x:c r="K146" s="20"/>
      <x:c r="L146" s="20"/>
      <x:c r="M146" s="20"/>
      <x:c r="N146" s="20"/>
    </x:row>
    <x:row r="147">
      <x:c r="A147" s="20"/>
      <x:c r="B147" s="20"/>
      <x:c r="C147" s="20"/>
      <x:c r="D147" s="20"/>
      <x:c r="E147" s="20"/>
      <x:c r="F147" s="20" t="str">
        <x:f>IF(OR(D147="",E147=""),"",IF(EXACT(D147,E147),"一致","差异"))</x:f>
      </x:c>
      <x:c r="G147" s="20"/>
      <x:c r="H147" s="20"/>
      <x:c r="I147" s="20"/>
      <x:c r="J147" s="20"/>
      <x:c r="K147" s="20"/>
      <x:c r="L147" s="20"/>
      <x:c r="M147" s="20"/>
      <x:c r="N147" s="20"/>
    </x:row>
    <x:row r="148">
      <x:c r="A148" s="20"/>
      <x:c r="B148" s="20"/>
      <x:c r="C148" s="20"/>
      <x:c r="D148" s="20"/>
      <x:c r="E148" s="20"/>
      <x:c r="F148" s="20" t="str">
        <x:f>IF(OR(D148="",E148=""),"",IF(EXACT(D148,E148),"一致","差异"))</x:f>
      </x:c>
      <x:c r="G148" s="20"/>
      <x:c r="H148" s="20"/>
      <x:c r="I148" s="20"/>
      <x:c r="J148" s="20"/>
      <x:c r="K148" s="20"/>
      <x:c r="L148" s="20"/>
      <x:c r="M148" s="20"/>
      <x:c r="N148" s="20"/>
    </x:row>
    <x:row r="149">
      <x:c r="A149" s="20"/>
      <x:c r="B149" s="20"/>
      <x:c r="C149" s="20"/>
      <x:c r="D149" s="20"/>
      <x:c r="E149" s="20"/>
      <x:c r="F149" s="20" t="str">
        <x:f>IF(OR(D149="",E149=""),"",IF(EXACT(D149,E149),"一致","差异"))</x:f>
      </x:c>
      <x:c r="G149" s="20"/>
      <x:c r="H149" s="20"/>
      <x:c r="I149" s="20"/>
      <x:c r="J149" s="20"/>
      <x:c r="K149" s="20"/>
      <x:c r="L149" s="20"/>
      <x:c r="M149" s="20"/>
      <x:c r="N149" s="20"/>
    </x:row>
    <x:row r="150">
      <x:c r="A150" s="20"/>
      <x:c r="B150" s="20"/>
      <x:c r="C150" s="20"/>
      <x:c r="D150" s="20"/>
      <x:c r="E150" s="20"/>
      <x:c r="F150" s="20" t="str">
        <x:f>IF(OR(D150="",E150=""),"",IF(EXACT(D150,E150),"一致","差异"))</x:f>
      </x:c>
      <x:c r="G150" s="20"/>
      <x:c r="H150" s="20"/>
      <x:c r="I150" s="20"/>
      <x:c r="J150" s="20"/>
      <x:c r="K150" s="20"/>
      <x:c r="L150" s="20"/>
      <x:c r="M150" s="20"/>
      <x:c r="N150" s="20"/>
    </x:row>
    <x:row r="151">
      <x:c r="A151" s="20"/>
      <x:c r="B151" s="20"/>
      <x:c r="C151" s="20"/>
      <x:c r="D151" s="20"/>
      <x:c r="E151" s="20"/>
      <x:c r="F151" s="20" t="str">
        <x:f>IF(OR(D151="",E151=""),"",IF(EXACT(D151,E151),"一致","差异"))</x:f>
      </x:c>
      <x:c r="G151" s="20"/>
      <x:c r="H151" s="20"/>
      <x:c r="I151" s="20"/>
      <x:c r="J151" s="20"/>
      <x:c r="K151" s="20"/>
      <x:c r="L151" s="20"/>
      <x:c r="M151" s="20"/>
      <x:c r="N151" s="20"/>
    </x:row>
    <x:row r="152">
      <x:c r="A152" s="20"/>
      <x:c r="B152" s="20"/>
      <x:c r="C152" s="20"/>
      <x:c r="D152" s="20"/>
      <x:c r="E152" s="20"/>
      <x:c r="F152" s="20" t="str">
        <x:f>IF(OR(D152="",E152=""),"",IF(EXACT(D152,E152),"一致","差异"))</x:f>
      </x:c>
      <x:c r="G152" s="20"/>
      <x:c r="H152" s="20"/>
      <x:c r="I152" s="20"/>
      <x:c r="J152" s="20"/>
      <x:c r="K152" s="20"/>
      <x:c r="L152" s="20"/>
      <x:c r="M152" s="20"/>
      <x:c r="N152" s="20"/>
    </x:row>
    <x:row r="153">
      <x:c r="A153" s="20"/>
      <x:c r="B153" s="20"/>
      <x:c r="C153" s="20"/>
      <x:c r="D153" s="20"/>
      <x:c r="E153" s="20"/>
      <x:c r="F153" s="20" t="str">
        <x:f>IF(OR(D153="",E153=""),"",IF(EXACT(D153,E153),"一致","差异"))</x:f>
      </x:c>
      <x:c r="G153" s="20"/>
      <x:c r="H153" s="20"/>
      <x:c r="I153" s="20"/>
      <x:c r="J153" s="20"/>
      <x:c r="K153" s="20"/>
      <x:c r="L153" s="20"/>
      <x:c r="M153" s="20"/>
      <x:c r="N153" s="20"/>
    </x:row>
    <x:row r="154">
      <x:c r="A154" s="20"/>
      <x:c r="B154" s="20"/>
      <x:c r="C154" s="20"/>
      <x:c r="D154" s="20"/>
      <x:c r="E154" s="20"/>
      <x:c r="F154" s="20" t="str">
        <x:f>IF(OR(D154="",E154=""),"",IF(EXACT(D154,E154),"一致","差异"))</x:f>
      </x:c>
      <x:c r="G154" s="20"/>
      <x:c r="H154" s="20"/>
      <x:c r="I154" s="20"/>
      <x:c r="J154" s="20"/>
      <x:c r="K154" s="20"/>
      <x:c r="L154" s="20"/>
      <x:c r="M154" s="20"/>
      <x:c r="N154" s="20"/>
    </x:row>
    <x:row r="155">
      <x:c r="A155" s="20"/>
      <x:c r="B155" s="20"/>
      <x:c r="C155" s="20"/>
      <x:c r="D155" s="20"/>
      <x:c r="E155" s="20"/>
      <x:c r="F155" s="20" t="str">
        <x:f>IF(OR(D155="",E155=""),"",IF(EXACT(D155,E155),"一致","差异"))</x:f>
      </x:c>
      <x:c r="G155" s="20"/>
      <x:c r="H155" s="20"/>
      <x:c r="I155" s="20"/>
      <x:c r="J155" s="20"/>
      <x:c r="K155" s="20"/>
      <x:c r="L155" s="20"/>
      <x:c r="M155" s="20"/>
      <x:c r="N155" s="20"/>
    </x:row>
    <x:row r="156">
      <x:c r="A156" s="20"/>
      <x:c r="B156" s="20"/>
      <x:c r="C156" s="20"/>
      <x:c r="D156" s="20"/>
      <x:c r="E156" s="20"/>
      <x:c r="F156" s="20" t="str">
        <x:f>IF(OR(D156="",E156=""),"",IF(EXACT(D156,E156),"一致","差异"))</x:f>
      </x:c>
      <x:c r="G156" s="20"/>
      <x:c r="H156" s="20"/>
      <x:c r="I156" s="20"/>
      <x:c r="J156" s="20"/>
      <x:c r="K156" s="20"/>
      <x:c r="L156" s="20"/>
      <x:c r="M156" s="20"/>
      <x:c r="N156" s="20"/>
    </x:row>
    <x:row r="157">
      <x:c r="A157" s="20"/>
      <x:c r="B157" s="20"/>
      <x:c r="C157" s="20"/>
      <x:c r="D157" s="20"/>
      <x:c r="E157" s="20"/>
      <x:c r="F157" s="20" t="str">
        <x:f>IF(OR(D157="",E157=""),"",IF(EXACT(D157,E157),"一致","差异"))</x:f>
      </x:c>
      <x:c r="G157" s="20"/>
      <x:c r="H157" s="20"/>
      <x:c r="I157" s="20"/>
      <x:c r="J157" s="20"/>
      <x:c r="K157" s="20"/>
      <x:c r="L157" s="20"/>
      <x:c r="M157" s="20"/>
      <x:c r="N157" s="20"/>
    </x:row>
    <x:row r="158">
      <x:c r="A158" s="20"/>
      <x:c r="B158" s="20"/>
      <x:c r="C158" s="20"/>
      <x:c r="D158" s="20"/>
      <x:c r="E158" s="20"/>
      <x:c r="F158" s="20" t="str">
        <x:f>IF(OR(D158="",E158=""),"",IF(EXACT(D158,E158),"一致","差异"))</x:f>
      </x:c>
      <x:c r="G158" s="20"/>
      <x:c r="H158" s="20"/>
      <x:c r="I158" s="20"/>
      <x:c r="J158" s="20"/>
      <x:c r="K158" s="20"/>
      <x:c r="L158" s="20"/>
      <x:c r="M158" s="20"/>
      <x:c r="N158" s="20"/>
    </x:row>
    <x:row r="159">
      <x:c r="A159" s="20"/>
      <x:c r="B159" s="20"/>
      <x:c r="C159" s="20"/>
      <x:c r="D159" s="20"/>
      <x:c r="E159" s="20"/>
      <x:c r="F159" s="20" t="str">
        <x:f>IF(OR(D159="",E159=""),"",IF(EXACT(D159,E159),"一致","差异"))</x:f>
      </x:c>
      <x:c r="G159" s="20"/>
      <x:c r="H159" s="20"/>
      <x:c r="I159" s="20"/>
      <x:c r="J159" s="20"/>
      <x:c r="K159" s="20"/>
      <x:c r="L159" s="20"/>
      <x:c r="M159" s="20"/>
      <x:c r="N159" s="20"/>
    </x:row>
    <x:row r="160">
      <x:c r="A160" s="20"/>
      <x:c r="B160" s="20"/>
      <x:c r="C160" s="20"/>
      <x:c r="D160" s="20"/>
      <x:c r="E160" s="20"/>
      <x:c r="F160" s="20" t="str">
        <x:f>IF(OR(D160="",E160=""),"",IF(EXACT(D160,E160),"一致","差异"))</x:f>
      </x:c>
      <x:c r="G160" s="20"/>
      <x:c r="H160" s="20"/>
      <x:c r="I160" s="20"/>
      <x:c r="J160" s="20"/>
      <x:c r="K160" s="20"/>
      <x:c r="L160" s="20"/>
      <x:c r="M160" s="20"/>
      <x:c r="N160" s="20"/>
    </x:row>
    <x:row r="161">
      <x:c r="A161" s="20"/>
      <x:c r="B161" s="20"/>
      <x:c r="C161" s="20"/>
      <x:c r="D161" s="20"/>
      <x:c r="E161" s="20"/>
      <x:c r="F161" s="20" t="str">
        <x:f>IF(OR(D161="",E161=""),"",IF(EXACT(D161,E161),"一致","差异"))</x:f>
      </x:c>
      <x:c r="G161" s="20"/>
      <x:c r="H161" s="20"/>
      <x:c r="I161" s="20"/>
      <x:c r="J161" s="20"/>
      <x:c r="K161" s="20"/>
      <x:c r="L161" s="20"/>
      <x:c r="M161" s="20"/>
      <x:c r="N161" s="20"/>
    </x:row>
    <x:row r="162">
      <x:c r="A162" s="20"/>
      <x:c r="B162" s="20"/>
      <x:c r="C162" s="20"/>
      <x:c r="D162" s="20"/>
      <x:c r="E162" s="20"/>
      <x:c r="F162" s="20" t="str">
        <x:f>IF(OR(D162="",E162=""),"",IF(EXACT(D162,E162),"一致","差异"))</x:f>
      </x:c>
      <x:c r="G162" s="20"/>
      <x:c r="H162" s="20"/>
      <x:c r="I162" s="20"/>
      <x:c r="J162" s="20"/>
      <x:c r="K162" s="20"/>
      <x:c r="L162" s="20"/>
      <x:c r="M162" s="20"/>
      <x:c r="N162" s="20"/>
    </x:row>
    <x:row r="163">
      <x:c r="A163" s="20"/>
      <x:c r="B163" s="20"/>
      <x:c r="C163" s="20"/>
      <x:c r="D163" s="20"/>
      <x:c r="E163" s="20"/>
      <x:c r="F163" s="20" t="str">
        <x:f>IF(OR(D163="",E163=""),"",IF(EXACT(D163,E163),"一致","差异"))</x:f>
      </x:c>
      <x:c r="G163" s="20"/>
      <x:c r="H163" s="20"/>
      <x:c r="I163" s="20"/>
      <x:c r="J163" s="20"/>
      <x:c r="K163" s="20"/>
      <x:c r="L163" s="20"/>
      <x:c r="M163" s="20"/>
      <x:c r="N163" s="20"/>
    </x:row>
    <x:row r="164">
      <x:c r="A164" s="20"/>
      <x:c r="B164" s="20"/>
      <x:c r="C164" s="20"/>
      <x:c r="D164" s="20"/>
      <x:c r="E164" s="20"/>
      <x:c r="F164" s="20" t="str">
        <x:f>IF(OR(D164="",E164=""),"",IF(EXACT(D164,E164),"一致","差异"))</x:f>
      </x:c>
      <x:c r="G164" s="20"/>
      <x:c r="H164" s="20"/>
      <x:c r="I164" s="20"/>
      <x:c r="J164" s="20"/>
      <x:c r="K164" s="20"/>
      <x:c r="L164" s="20"/>
      <x:c r="M164" s="20"/>
      <x:c r="N164" s="20"/>
    </x:row>
    <x:row r="165">
      <x:c r="A165" s="20"/>
      <x:c r="B165" s="20"/>
      <x:c r="C165" s="20"/>
      <x:c r="D165" s="20"/>
      <x:c r="E165" s="20"/>
      <x:c r="F165" s="20" t="str">
        <x:f>IF(OR(D165="",E165=""),"",IF(EXACT(D165,E165),"一致","差异"))</x:f>
      </x:c>
      <x:c r="G165" s="20"/>
      <x:c r="H165" s="20"/>
      <x:c r="I165" s="20"/>
      <x:c r="J165" s="20"/>
      <x:c r="K165" s="20"/>
      <x:c r="L165" s="20"/>
      <x:c r="M165" s="20"/>
      <x:c r="N165" s="20"/>
    </x:row>
    <x:row r="166">
      <x:c r="A166" s="20"/>
      <x:c r="B166" s="20"/>
      <x:c r="C166" s="20"/>
      <x:c r="D166" s="20"/>
      <x:c r="E166" s="20"/>
      <x:c r="F166" s="20" t="str">
        <x:f>IF(OR(D166="",E166=""),"",IF(EXACT(D166,E166),"一致","差异"))</x:f>
      </x:c>
      <x:c r="G166" s="20"/>
      <x:c r="H166" s="20"/>
      <x:c r="I166" s="20"/>
      <x:c r="J166" s="20"/>
      <x:c r="K166" s="20"/>
      <x:c r="L166" s="20"/>
      <x:c r="M166" s="20"/>
      <x:c r="N166" s="20"/>
    </x:row>
    <x:row r="167">
      <x:c r="A167" s="20"/>
      <x:c r="B167" s="20"/>
      <x:c r="C167" s="20"/>
      <x:c r="D167" s="20"/>
      <x:c r="E167" s="20"/>
      <x:c r="F167" s="20" t="str">
        <x:f>IF(OR(D167="",E167=""),"",IF(EXACT(D167,E167),"一致","差异"))</x:f>
      </x:c>
      <x:c r="G167" s="20"/>
      <x:c r="H167" s="20"/>
      <x:c r="I167" s="20"/>
      <x:c r="J167" s="20"/>
      <x:c r="K167" s="20"/>
      <x:c r="L167" s="20"/>
      <x:c r="M167" s="20"/>
      <x:c r="N167" s="20"/>
    </x:row>
    <x:row r="168">
      <x:c r="A168" s="20"/>
      <x:c r="B168" s="20"/>
      <x:c r="C168" s="20"/>
      <x:c r="D168" s="20"/>
      <x:c r="E168" s="20"/>
      <x:c r="F168" s="20" t="str">
        <x:f>IF(OR(D168="",E168=""),"",IF(EXACT(D168,E168),"一致","差异"))</x:f>
      </x:c>
      <x:c r="G168" s="20"/>
      <x:c r="H168" s="20"/>
      <x:c r="I168" s="20"/>
      <x:c r="J168" s="20"/>
      <x:c r="K168" s="20"/>
      <x:c r="L168" s="20"/>
      <x:c r="M168" s="20"/>
      <x:c r="N168" s="20"/>
    </x:row>
    <x:row r="169">
      <x:c r="A169" s="20"/>
      <x:c r="B169" s="20"/>
      <x:c r="C169" s="20"/>
      <x:c r="D169" s="20"/>
      <x:c r="E169" s="20"/>
      <x:c r="F169" s="20" t="str">
        <x:f>IF(OR(D169="",E169=""),"",IF(EXACT(D169,E169),"一致","差异"))</x:f>
      </x:c>
      <x:c r="G169" s="20"/>
      <x:c r="H169" s="20"/>
      <x:c r="I169" s="20"/>
      <x:c r="J169" s="20"/>
      <x:c r="K169" s="20"/>
      <x:c r="L169" s="20"/>
      <x:c r="M169" s="20"/>
      <x:c r="N169" s="20"/>
    </x:row>
    <x:row r="170">
      <x:c r="A170" s="20"/>
      <x:c r="B170" s="20"/>
      <x:c r="C170" s="20"/>
      <x:c r="D170" s="20"/>
      <x:c r="E170" s="20"/>
      <x:c r="F170" s="20" t="str">
        <x:f>IF(OR(D170="",E170=""),"",IF(EXACT(D170,E170),"一致","差异"))</x:f>
      </x:c>
      <x:c r="G170" s="20"/>
      <x:c r="H170" s="20"/>
      <x:c r="I170" s="20"/>
      <x:c r="J170" s="20"/>
      <x:c r="K170" s="20"/>
      <x:c r="L170" s="20"/>
      <x:c r="M170" s="20"/>
      <x:c r="N170" s="20"/>
    </x:row>
    <x:row r="171">
      <x:c r="A171" s="20"/>
      <x:c r="B171" s="20"/>
      <x:c r="C171" s="20"/>
      <x:c r="D171" s="20"/>
      <x:c r="E171" s="20"/>
      <x:c r="F171" s="20" t="str">
        <x:f>IF(OR(D171="",E171=""),"",IF(EXACT(D171,E171),"一致","差异"))</x:f>
      </x:c>
      <x:c r="G171" s="20"/>
      <x:c r="H171" s="20"/>
      <x:c r="I171" s="20"/>
      <x:c r="J171" s="20"/>
      <x:c r="K171" s="20"/>
      <x:c r="L171" s="20"/>
      <x:c r="M171" s="20"/>
      <x:c r="N171" s="20"/>
    </x:row>
    <x:row r="172">
      <x:c r="A172" s="20"/>
      <x:c r="B172" s="20"/>
      <x:c r="C172" s="20"/>
      <x:c r="D172" s="20"/>
      <x:c r="E172" s="20"/>
      <x:c r="F172" s="20" t="str">
        <x:f>IF(OR(D172="",E172=""),"",IF(EXACT(D172,E172),"一致","差异"))</x:f>
      </x:c>
      <x:c r="G172" s="20"/>
      <x:c r="H172" s="20"/>
      <x:c r="I172" s="20"/>
      <x:c r="J172" s="20"/>
      <x:c r="K172" s="20"/>
      <x:c r="L172" s="20"/>
      <x:c r="M172" s="20"/>
      <x:c r="N172" s="20"/>
    </x:row>
    <x:row r="173">
      <x:c r="A173" s="20"/>
      <x:c r="B173" s="20"/>
      <x:c r="C173" s="20"/>
      <x:c r="D173" s="20"/>
      <x:c r="E173" s="20"/>
      <x:c r="F173" s="20" t="str">
        <x:f>IF(OR(D173="",E173=""),"",IF(EXACT(D173,E173),"一致","差异"))</x:f>
      </x:c>
      <x:c r="G173" s="20"/>
      <x:c r="H173" s="20"/>
      <x:c r="I173" s="20"/>
      <x:c r="J173" s="20"/>
      <x:c r="K173" s="20"/>
      <x:c r="L173" s="20"/>
      <x:c r="M173" s="20"/>
      <x:c r="N173" s="20"/>
    </x:row>
    <x:row r="174">
      <x:c r="A174" s="20"/>
      <x:c r="B174" s="20"/>
      <x:c r="C174" s="20"/>
      <x:c r="D174" s="20"/>
      <x:c r="E174" s="20"/>
      <x:c r="F174" s="20" t="str">
        <x:f>IF(OR(D174="",E174=""),"",IF(EXACT(D174,E174),"一致","差异"))</x:f>
      </x:c>
      <x:c r="G174" s="20"/>
      <x:c r="H174" s="20"/>
      <x:c r="I174" s="20"/>
      <x:c r="J174" s="20"/>
      <x:c r="K174" s="20"/>
      <x:c r="L174" s="20"/>
      <x:c r="M174" s="20"/>
      <x:c r="N174" s="20"/>
    </x:row>
    <x:row r="175">
      <x:c r="A175" s="20"/>
      <x:c r="B175" s="20"/>
      <x:c r="C175" s="20"/>
      <x:c r="D175" s="20"/>
      <x:c r="E175" s="20"/>
      <x:c r="F175" s="20" t="str">
        <x:f>IF(OR(D175="",E175=""),"",IF(EXACT(D175,E175),"一致","差异"))</x:f>
      </x:c>
      <x:c r="G175" s="20"/>
      <x:c r="H175" s="20"/>
      <x:c r="I175" s="20"/>
      <x:c r="J175" s="20"/>
      <x:c r="K175" s="20"/>
      <x:c r="L175" s="20"/>
      <x:c r="M175" s="20"/>
      <x:c r="N175" s="20"/>
    </x:row>
    <x:row r="176">
      <x:c r="A176" s="20"/>
      <x:c r="B176" s="20"/>
      <x:c r="C176" s="20"/>
      <x:c r="D176" s="20"/>
      <x:c r="E176" s="20"/>
      <x:c r="F176" s="20" t="str">
        <x:f>IF(OR(D176="",E176=""),"",IF(EXACT(D176,E176),"一致","差异"))</x:f>
      </x:c>
      <x:c r="G176" s="20"/>
      <x:c r="H176" s="20"/>
      <x:c r="I176" s="20"/>
      <x:c r="J176" s="20"/>
      <x:c r="K176" s="20"/>
      <x:c r="L176" s="20"/>
      <x:c r="M176" s="20"/>
      <x:c r="N176" s="20"/>
    </x:row>
    <x:row r="177">
      <x:c r="A177" s="20"/>
      <x:c r="B177" s="20"/>
      <x:c r="C177" s="20"/>
      <x:c r="D177" s="20"/>
      <x:c r="E177" s="20"/>
      <x:c r="F177" s="20" t="str">
        <x:f>IF(OR(D177="",E177=""),"",IF(EXACT(D177,E177),"一致","差异"))</x:f>
      </x:c>
      <x:c r="G177" s="20"/>
      <x:c r="H177" s="20"/>
      <x:c r="I177" s="20"/>
      <x:c r="J177" s="20"/>
      <x:c r="K177" s="20"/>
      <x:c r="L177" s="20"/>
      <x:c r="M177" s="20"/>
      <x:c r="N177" s="20"/>
    </x:row>
    <x:row r="178">
      <x:c r="A178" s="20"/>
      <x:c r="B178" s="20"/>
      <x:c r="C178" s="20"/>
      <x:c r="D178" s="20"/>
      <x:c r="E178" s="20"/>
      <x:c r="F178" s="20" t="str">
        <x:f>IF(OR(D178="",E178=""),"",IF(EXACT(D178,E178),"一致","差异"))</x:f>
      </x:c>
      <x:c r="G178" s="20"/>
      <x:c r="H178" s="20"/>
      <x:c r="I178" s="20"/>
      <x:c r="J178" s="20"/>
      <x:c r="K178" s="20"/>
      <x:c r="L178" s="20"/>
      <x:c r="M178" s="20"/>
      <x:c r="N178" s="20"/>
    </x:row>
    <x:row r="179">
      <x:c r="A179" s="20"/>
      <x:c r="B179" s="20"/>
      <x:c r="C179" s="20"/>
      <x:c r="D179" s="20"/>
      <x:c r="E179" s="20"/>
      <x:c r="F179" s="20" t="str">
        <x:f>IF(OR(D179="",E179=""),"",IF(EXACT(D179,E179),"一致","差异"))</x:f>
      </x:c>
      <x:c r="G179" s="20"/>
      <x:c r="H179" s="20"/>
      <x:c r="I179" s="20"/>
      <x:c r="J179" s="20"/>
      <x:c r="K179" s="20"/>
      <x:c r="L179" s="20"/>
      <x:c r="M179" s="20"/>
      <x:c r="N179" s="20"/>
    </x:row>
    <x:row r="180">
      <x:c r="A180" s="20"/>
      <x:c r="B180" s="20"/>
      <x:c r="C180" s="20"/>
      <x:c r="D180" s="20"/>
      <x:c r="E180" s="20"/>
      <x:c r="F180" s="20" t="str">
        <x:f>IF(OR(D180="",E180=""),"",IF(EXACT(D180,E180),"一致","差异"))</x:f>
      </x:c>
      <x:c r="G180" s="20"/>
      <x:c r="H180" s="20"/>
      <x:c r="I180" s="20"/>
      <x:c r="J180" s="20"/>
      <x:c r="K180" s="20"/>
      <x:c r="L180" s="20"/>
      <x:c r="M180" s="20"/>
      <x:c r="N180" s="20"/>
    </x:row>
    <x:row r="181">
      <x:c r="A181" s="20"/>
      <x:c r="B181" s="20"/>
      <x:c r="C181" s="20"/>
      <x:c r="D181" s="20"/>
      <x:c r="E181" s="20"/>
      <x:c r="F181" s="20" t="str">
        <x:f>IF(OR(D181="",E181=""),"",IF(EXACT(D181,E181),"一致","差异"))</x:f>
      </x:c>
      <x:c r="G181" s="20"/>
      <x:c r="H181" s="20"/>
      <x:c r="I181" s="20"/>
      <x:c r="J181" s="20"/>
      <x:c r="K181" s="20"/>
      <x:c r="L181" s="20"/>
      <x:c r="M181" s="20"/>
      <x:c r="N181" s="20"/>
    </x:row>
    <x:row r="182">
      <x:c r="A182" s="20"/>
      <x:c r="B182" s="20"/>
      <x:c r="C182" s="20"/>
      <x:c r="D182" s="20"/>
      <x:c r="E182" s="20"/>
      <x:c r="F182" s="20" t="str">
        <x:f>IF(OR(D182="",E182=""),"",IF(EXACT(D182,E182),"一致","差异"))</x:f>
      </x:c>
      <x:c r="G182" s="20"/>
      <x:c r="H182" s="20"/>
      <x:c r="I182" s="20"/>
      <x:c r="J182" s="20"/>
      <x:c r="K182" s="20"/>
      <x:c r="L182" s="20"/>
      <x:c r="M182" s="20"/>
      <x:c r="N182" s="20"/>
    </x:row>
    <x:row r="183">
      <x:c r="A183" s="20"/>
      <x:c r="B183" s="20"/>
      <x:c r="C183" s="20"/>
      <x:c r="D183" s="20"/>
      <x:c r="E183" s="20"/>
      <x:c r="F183" s="20" t="str">
        <x:f>IF(OR(D183="",E183=""),"",IF(EXACT(D183,E183),"一致","差异"))</x:f>
      </x:c>
      <x:c r="G183" s="20"/>
      <x:c r="H183" s="20"/>
      <x:c r="I183" s="20"/>
      <x:c r="J183" s="20"/>
      <x:c r="K183" s="20"/>
      <x:c r="L183" s="20"/>
      <x:c r="M183" s="20"/>
      <x:c r="N183" s="20"/>
    </x:row>
    <x:row r="184">
      <x:c r="A184" s="20"/>
      <x:c r="B184" s="20"/>
      <x:c r="C184" s="20"/>
      <x:c r="D184" s="20"/>
      <x:c r="E184" s="20"/>
      <x:c r="F184" s="20" t="str">
        <x:f>IF(OR(D184="",E184=""),"",IF(EXACT(D184,E184),"一致","差异"))</x:f>
      </x:c>
      <x:c r="G184" s="20"/>
      <x:c r="H184" s="20"/>
      <x:c r="I184" s="20"/>
      <x:c r="J184" s="20"/>
      <x:c r="K184" s="20"/>
      <x:c r="L184" s="20"/>
      <x:c r="M184" s="20"/>
      <x:c r="N184" s="20"/>
    </x:row>
    <x:row r="185">
      <x:c r="A185" s="20"/>
      <x:c r="B185" s="20"/>
      <x:c r="C185" s="20"/>
      <x:c r="D185" s="20"/>
      <x:c r="E185" s="20"/>
      <x:c r="F185" s="20" t="str">
        <x:f>IF(OR(D185="",E185=""),"",IF(EXACT(D185,E185),"一致","差异"))</x:f>
      </x:c>
      <x:c r="G185" s="20"/>
      <x:c r="H185" s="20"/>
      <x:c r="I185" s="20"/>
      <x:c r="J185" s="20"/>
      <x:c r="K185" s="20"/>
      <x:c r="L185" s="20"/>
      <x:c r="M185" s="20"/>
      <x:c r="N185" s="20"/>
    </x:row>
    <x:row r="186">
      <x:c r="A186" s="20"/>
      <x:c r="B186" s="20"/>
      <x:c r="C186" s="20"/>
      <x:c r="D186" s="20"/>
      <x:c r="E186" s="20"/>
      <x:c r="F186" s="20" t="str">
        <x:f>IF(OR(D186="",E186=""),"",IF(EXACT(D186,E186),"一致","差异"))</x:f>
      </x:c>
      <x:c r="G186" s="20"/>
      <x:c r="H186" s="20"/>
      <x:c r="I186" s="20"/>
      <x:c r="J186" s="20"/>
      <x:c r="K186" s="20"/>
      <x:c r="L186" s="20"/>
      <x:c r="M186" s="20"/>
      <x:c r="N186" s="20"/>
    </x:row>
    <x:row r="187">
      <x:c r="A187" s="20"/>
      <x:c r="B187" s="20"/>
      <x:c r="C187" s="20"/>
      <x:c r="D187" s="20"/>
      <x:c r="E187" s="20"/>
      <x:c r="F187" s="20" t="str">
        <x:f>IF(OR(D187="",E187=""),"",IF(EXACT(D187,E187),"一致","差异"))</x:f>
      </x:c>
      <x:c r="G187" s="20"/>
      <x:c r="H187" s="20"/>
      <x:c r="I187" s="20"/>
      <x:c r="J187" s="20"/>
      <x:c r="K187" s="20"/>
      <x:c r="L187" s="20"/>
      <x:c r="M187" s="20"/>
      <x:c r="N187" s="20"/>
    </x:row>
    <x:row r="188">
      <x:c r="A188" s="20"/>
      <x:c r="B188" s="20"/>
      <x:c r="C188" s="20"/>
      <x:c r="D188" s="20"/>
      <x:c r="E188" s="20"/>
      <x:c r="F188" s="20" t="str">
        <x:f>IF(OR(D188="",E188=""),"",IF(EXACT(D188,E188),"一致","差异"))</x:f>
      </x:c>
      <x:c r="G188" s="20"/>
      <x:c r="H188" s="20"/>
      <x:c r="I188" s="20"/>
      <x:c r="J188" s="20"/>
      <x:c r="K188" s="20"/>
      <x:c r="L188" s="20"/>
      <x:c r="M188" s="20"/>
      <x:c r="N188" s="20"/>
    </x:row>
    <x:row r="189">
      <x:c r="A189" s="20"/>
      <x:c r="B189" s="20"/>
      <x:c r="C189" s="20"/>
      <x:c r="D189" s="20"/>
      <x:c r="E189" s="20"/>
      <x:c r="F189" s="20" t="str">
        <x:f>IF(OR(D189="",E189=""),"",IF(EXACT(D189,E189),"一致","差异"))</x:f>
      </x:c>
      <x:c r="G189" s="20"/>
      <x:c r="H189" s="20"/>
      <x:c r="I189" s="20"/>
      <x:c r="J189" s="20"/>
      <x:c r="K189" s="20"/>
      <x:c r="L189" s="20"/>
      <x:c r="M189" s="20"/>
      <x:c r="N189" s="20"/>
    </x:row>
    <x:row r="190">
      <x:c r="A190" s="20"/>
      <x:c r="B190" s="20"/>
      <x:c r="C190" s="20"/>
      <x:c r="D190" s="20"/>
      <x:c r="E190" s="20"/>
      <x:c r="F190" s="20" t="str">
        <x:f>IF(OR(D190="",E190=""),"",IF(EXACT(D190,E190),"一致","差异"))</x:f>
      </x:c>
      <x:c r="G190" s="20"/>
      <x:c r="H190" s="20"/>
      <x:c r="I190" s="20"/>
      <x:c r="J190" s="20"/>
      <x:c r="K190" s="20"/>
      <x:c r="L190" s="20"/>
      <x:c r="M190" s="20"/>
      <x:c r="N190" s="20"/>
    </x:row>
    <x:row r="191">
      <x:c r="A191" s="20"/>
      <x:c r="B191" s="20"/>
      <x:c r="C191" s="20"/>
      <x:c r="D191" s="20"/>
      <x:c r="E191" s="20"/>
      <x:c r="F191" s="20" t="str">
        <x:f>IF(OR(D191="",E191=""),"",IF(EXACT(D191,E191),"一致","差异"))</x:f>
      </x:c>
      <x:c r="G191" s="20"/>
      <x:c r="H191" s="20"/>
      <x:c r="I191" s="20"/>
      <x:c r="J191" s="20"/>
      <x:c r="K191" s="20"/>
      <x:c r="L191" s="20"/>
      <x:c r="M191" s="20"/>
      <x:c r="N191" s="20"/>
    </x:row>
    <x:row r="192">
      <x:c r="A192" s="20"/>
      <x:c r="B192" s="20"/>
      <x:c r="C192" s="20"/>
      <x:c r="D192" s="20"/>
      <x:c r="E192" s="20"/>
      <x:c r="F192" s="20" t="str">
        <x:f>IF(OR(D192="",E192=""),"",IF(EXACT(D192,E192),"一致","差异"))</x:f>
      </x:c>
      <x:c r="G192" s="20"/>
      <x:c r="H192" s="20"/>
      <x:c r="I192" s="20"/>
      <x:c r="J192" s="20"/>
      <x:c r="K192" s="20"/>
      <x:c r="L192" s="20"/>
      <x:c r="M192" s="20"/>
      <x:c r="N192" s="20"/>
    </x:row>
    <x:row r="193">
      <x:c r="A193" s="20"/>
      <x:c r="B193" s="20"/>
      <x:c r="C193" s="20"/>
      <x:c r="D193" s="20"/>
      <x:c r="E193" s="20"/>
      <x:c r="F193" s="20" t="str">
        <x:f>IF(OR(D193="",E193=""),"",IF(EXACT(D193,E193),"一致","差异"))</x:f>
      </x:c>
      <x:c r="G193" s="20"/>
      <x:c r="H193" s="20"/>
      <x:c r="I193" s="20"/>
      <x:c r="J193" s="20"/>
      <x:c r="K193" s="20"/>
      <x:c r="L193" s="20"/>
      <x:c r="M193" s="20"/>
      <x:c r="N193" s="20"/>
    </x:row>
    <x:row r="194">
      <x:c r="A194" s="20"/>
      <x:c r="B194" s="20"/>
      <x:c r="C194" s="20"/>
      <x:c r="D194" s="20"/>
      <x:c r="E194" s="20"/>
      <x:c r="F194" s="20" t="str">
        <x:f>IF(OR(D194="",E194=""),"",IF(EXACT(D194,E194),"一致","差异"))</x:f>
      </x:c>
      <x:c r="G194" s="20"/>
      <x:c r="H194" s="20"/>
      <x:c r="I194" s="20"/>
      <x:c r="J194" s="20"/>
      <x:c r="K194" s="20"/>
      <x:c r="L194" s="20"/>
      <x:c r="M194" s="20"/>
      <x:c r="N194" s="20"/>
    </x:row>
    <x:row r="195">
      <x:c r="A195" s="20"/>
      <x:c r="B195" s="20"/>
      <x:c r="C195" s="20"/>
      <x:c r="D195" s="20"/>
      <x:c r="E195" s="20"/>
      <x:c r="F195" s="20" t="str">
        <x:f>IF(OR(D195="",E195=""),"",IF(EXACT(D195,E195),"一致","差异"))</x:f>
      </x:c>
      <x:c r="G195" s="20"/>
      <x:c r="H195" s="20"/>
      <x:c r="I195" s="20"/>
      <x:c r="J195" s="20"/>
      <x:c r="K195" s="20"/>
      <x:c r="L195" s="20"/>
      <x:c r="M195" s="20"/>
      <x:c r="N195" s="20"/>
    </x:row>
    <x:row r="196">
      <x:c r="A196" s="20"/>
      <x:c r="B196" s="20"/>
      <x:c r="C196" s="20"/>
      <x:c r="D196" s="20"/>
      <x:c r="E196" s="20"/>
      <x:c r="F196" s="20" t="str">
        <x:f>IF(OR(D196="",E196=""),"",IF(EXACT(D196,E196),"一致","差异"))</x:f>
      </x:c>
      <x:c r="G196" s="20"/>
      <x:c r="H196" s="20"/>
      <x:c r="I196" s="20"/>
      <x:c r="J196" s="20"/>
      <x:c r="K196" s="20"/>
      <x:c r="L196" s="20"/>
      <x:c r="M196" s="20"/>
      <x:c r="N196" s="20"/>
    </x:row>
    <x:row r="197">
      <x:c r="A197" s="20"/>
      <x:c r="B197" s="20"/>
      <x:c r="C197" s="20"/>
      <x:c r="D197" s="20"/>
      <x:c r="E197" s="20"/>
      <x:c r="F197" s="20" t="str">
        <x:f>IF(OR(D197="",E197=""),"",IF(EXACT(D197,E197),"一致","差异"))</x:f>
      </x:c>
      <x:c r="G197" s="20"/>
      <x:c r="H197" s="20"/>
      <x:c r="I197" s="20"/>
      <x:c r="J197" s="20"/>
      <x:c r="K197" s="20"/>
      <x:c r="L197" s="20"/>
      <x:c r="M197" s="20"/>
      <x:c r="N197" s="20"/>
    </x:row>
    <x:row r="198">
      <x:c r="A198" s="20"/>
      <x:c r="B198" s="20"/>
      <x:c r="C198" s="20"/>
      <x:c r="D198" s="20"/>
      <x:c r="E198" s="20"/>
      <x:c r="F198" s="20" t="str">
        <x:f>IF(OR(D198="",E198=""),"",IF(EXACT(D198,E198),"一致","差异"))</x:f>
      </x:c>
      <x:c r="G198" s="20"/>
      <x:c r="H198" s="20"/>
      <x:c r="I198" s="20"/>
      <x:c r="J198" s="20"/>
      <x:c r="K198" s="20"/>
      <x:c r="L198" s="20"/>
      <x:c r="M198" s="20"/>
      <x:c r="N198" s="20"/>
    </x:row>
    <x:row r="199">
      <x:c r="A199" s="20"/>
      <x:c r="B199" s="20"/>
      <x:c r="C199" s="20"/>
      <x:c r="D199" s="20"/>
      <x:c r="E199" s="20"/>
      <x:c r="F199" s="20" t="str">
        <x:f>IF(OR(D199="",E199=""),"",IF(EXACT(D199,E199),"一致","差异"))</x:f>
      </x:c>
      <x:c r="G199" s="20"/>
      <x:c r="H199" s="20"/>
      <x:c r="I199" s="20"/>
      <x:c r="J199" s="20"/>
      <x:c r="K199" s="20"/>
      <x:c r="L199" s="20"/>
      <x:c r="M199" s="20"/>
      <x:c r="N199" s="20"/>
    </x:row>
    <x:row r="200">
      <x:c r="A200" s="20"/>
      <x:c r="B200" s="20"/>
      <x:c r="C200" s="20"/>
      <x:c r="D200" s="20"/>
      <x:c r="E200" s="20"/>
      <x:c r="F200" s="20" t="str">
        <x:f>IF(OR(D200="",E200=""),"",IF(EXACT(D200,E200),"一致","差异"))</x:f>
      </x:c>
      <x:c r="G200" s="20"/>
      <x:c r="H200" s="20"/>
      <x:c r="I200" s="20"/>
      <x:c r="J200" s="20"/>
      <x:c r="K200" s="20"/>
      <x:c r="L200" s="20"/>
      <x:c r="M200" s="20"/>
      <x:c r="N200" s="20"/>
    </x:row>
    <x:row r="201">
      <x:c r="A201" s="20"/>
      <x:c r="B201" s="20"/>
      <x:c r="C201" s="20"/>
      <x:c r="D201" s="20"/>
      <x:c r="E201" s="20"/>
      <x:c r="F201" s="20" t="str">
        <x:f>IF(OR(D201="",E201=""),"",IF(EXACT(D201,E201),"一致","差异"))</x:f>
      </x:c>
      <x:c r="G201" s="20"/>
      <x:c r="H201" s="20"/>
      <x:c r="I201" s="20"/>
      <x:c r="J201" s="20"/>
      <x:c r="K201" s="20"/>
      <x:c r="L201" s="20"/>
      <x:c r="M201" s="20"/>
      <x:c r="N201" s="20"/>
    </x:row>
    <x:row r="202">
      <x:c r="A202" s="20"/>
      <x:c r="B202" s="20"/>
      <x:c r="C202" s="20"/>
      <x:c r="D202" s="20"/>
      <x:c r="E202" s="20"/>
      <x:c r="F202" s="20" t="str">
        <x:f>IF(OR(D202="",E202=""),"",IF(EXACT(D202,E202),"一致","差异"))</x:f>
      </x:c>
      <x:c r="G202" s="20"/>
      <x:c r="H202" s="20"/>
      <x:c r="I202" s="20"/>
      <x:c r="J202" s="20"/>
      <x:c r="K202" s="20"/>
      <x:c r="L202" s="20"/>
      <x:c r="M202" s="20"/>
      <x:c r="N202" s="20"/>
    </x:row>
    <x:row r="203">
      <x:c r="A203" s="20"/>
      <x:c r="B203" s="20"/>
      <x:c r="C203" s="20"/>
      <x:c r="D203" s="20"/>
      <x:c r="E203" s="20"/>
      <x:c r="F203" s="20" t="str">
        <x:f>IF(OR(D203="",E203=""),"",IF(EXACT(D203,E203),"一致","差异"))</x:f>
      </x:c>
      <x:c r="G203" s="20"/>
      <x:c r="H203" s="20"/>
      <x:c r="I203" s="20"/>
      <x:c r="J203" s="20"/>
      <x:c r="K203" s="20"/>
      <x:c r="L203" s="20"/>
      <x:c r="M203" s="20"/>
      <x:c r="N203" s="20"/>
    </x:row>
    <x:row r="204">
      <x:c r="A204" s="20"/>
      <x:c r="B204" s="20"/>
      <x:c r="C204" s="20"/>
      <x:c r="D204" s="20"/>
      <x:c r="E204" s="20"/>
      <x:c r="F204" s="20" t="str">
        <x:f>IF(OR(D204="",E204=""),"",IF(EXACT(D204,E204),"一致","差异"))</x:f>
      </x:c>
      <x:c r="G204" s="20"/>
      <x:c r="H204" s="20"/>
      <x:c r="I204" s="20"/>
      <x:c r="J204" s="20"/>
      <x:c r="K204" s="20"/>
      <x:c r="L204" s="20"/>
      <x:c r="M204" s="20"/>
      <x:c r="N204" s="20"/>
    </x:row>
    <x:row r="205">
      <x:c r="A205" s="20"/>
      <x:c r="B205" s="20"/>
      <x:c r="C205" s="20"/>
      <x:c r="D205" s="20"/>
      <x:c r="E205" s="20"/>
      <x:c r="F205" s="20" t="str">
        <x:f>IF(OR(D205="",E205=""),"",IF(EXACT(D205,E205),"一致","差异"))</x:f>
      </x:c>
      <x:c r="G205" s="20"/>
      <x:c r="H205" s="20"/>
      <x:c r="I205" s="20"/>
      <x:c r="J205" s="20"/>
      <x:c r="K205" s="20"/>
      <x:c r="L205" s="20"/>
      <x:c r="M205" s="20"/>
      <x:c r="N205" s="20"/>
    </x:row>
    <x:row r="206">
      <x:c r="A206" s="20"/>
      <x:c r="B206" s="20"/>
      <x:c r="C206" s="20"/>
      <x:c r="D206" s="20"/>
      <x:c r="E206" s="20"/>
      <x:c r="F206" s="20" t="str">
        <x:f>IF(OR(D206="",E206=""),"",IF(EXACT(D206,E206),"一致","差异"))</x:f>
      </x:c>
      <x:c r="G206" s="20"/>
      <x:c r="H206" s="20"/>
      <x:c r="I206" s="20"/>
      <x:c r="J206" s="20"/>
      <x:c r="K206" s="20"/>
      <x:c r="L206" s="20"/>
      <x:c r="M206" s="20"/>
      <x:c r="N206" s="20"/>
    </x:row>
    <x:row r="207">
      <x:c r="A207" s="20"/>
      <x:c r="B207" s="20"/>
      <x:c r="C207" s="20"/>
      <x:c r="D207" s="20"/>
      <x:c r="E207" s="20"/>
      <x:c r="F207" s="20" t="str">
        <x:f>IF(OR(D207="",E207=""),"",IF(EXACT(D207,E207),"一致","差异"))</x:f>
      </x:c>
      <x:c r="G207" s="20"/>
      <x:c r="H207" s="20"/>
      <x:c r="I207" s="20"/>
      <x:c r="J207" s="20"/>
      <x:c r="K207" s="20"/>
      <x:c r="L207" s="20"/>
      <x:c r="M207" s="20"/>
      <x:c r="N207" s="20"/>
    </x:row>
    <x:row r="208">
      <x:c r="A208" s="20"/>
      <x:c r="B208" s="20"/>
      <x:c r="C208" s="20"/>
      <x:c r="D208" s="20"/>
      <x:c r="E208" s="20"/>
      <x:c r="F208" s="20" t="str">
        <x:f>IF(OR(D208="",E208=""),"",IF(EXACT(D208,E208),"一致","差异"))</x:f>
      </x:c>
      <x:c r="G208" s="20"/>
      <x:c r="H208" s="20"/>
      <x:c r="I208" s="20"/>
      <x:c r="J208" s="20"/>
      <x:c r="K208" s="20"/>
      <x:c r="L208" s="20"/>
      <x:c r="M208" s="20"/>
      <x:c r="N208" s="20"/>
    </x:row>
    <x:row r="209">
      <x:c r="A209" s="20"/>
      <x:c r="B209" s="20"/>
      <x:c r="C209" s="20"/>
      <x:c r="D209" s="20"/>
      <x:c r="E209" s="20"/>
      <x:c r="F209" s="20" t="str">
        <x:f>IF(OR(D209="",E209=""),"",IF(EXACT(D209,E209),"一致","差异"))</x:f>
      </x:c>
      <x:c r="G209" s="20"/>
      <x:c r="H209" s="20"/>
      <x:c r="I209" s="20"/>
      <x:c r="J209" s="20"/>
      <x:c r="K209" s="20"/>
      <x:c r="L209" s="20"/>
      <x:c r="M209" s="20"/>
      <x:c r="N209" s="20"/>
    </x:row>
    <x:row r="210">
      <x:c r="A210" s="20"/>
      <x:c r="B210" s="20"/>
      <x:c r="C210" s="20"/>
      <x:c r="D210" s="20"/>
      <x:c r="E210" s="20"/>
      <x:c r="F210" s="20" t="str">
        <x:f>IF(OR(D210="",E210=""),"",IF(EXACT(D210,E210),"一致","差异"))</x:f>
      </x:c>
      <x:c r="G210" s="20"/>
      <x:c r="H210" s="20"/>
      <x:c r="I210" s="20"/>
      <x:c r="J210" s="20"/>
      <x:c r="K210" s="20"/>
      <x:c r="L210" s="20"/>
      <x:c r="M210" s="20"/>
      <x:c r="N210" s="20"/>
    </x:row>
    <x:row r="211">
      <x:c r="A211" s="20"/>
      <x:c r="B211" s="20"/>
      <x:c r="C211" s="20"/>
      <x:c r="D211" s="20"/>
      <x:c r="E211" s="20"/>
      <x:c r="F211" s="20" t="str">
        <x:f>IF(OR(D211="",E211=""),"",IF(EXACT(D211,E211),"一致","差异"))</x:f>
      </x:c>
      <x:c r="G211" s="20"/>
      <x:c r="H211" s="20"/>
      <x:c r="I211" s="20"/>
      <x:c r="J211" s="20"/>
      <x:c r="K211" s="20"/>
      <x:c r="L211" s="20"/>
      <x:c r="M211" s="20"/>
      <x:c r="N211" s="20"/>
    </x:row>
    <x:row r="212">
      <x:c r="A212" s="20"/>
      <x:c r="B212" s="20"/>
      <x:c r="C212" s="20"/>
      <x:c r="D212" s="20"/>
      <x:c r="E212" s="20"/>
      <x:c r="F212" s="20" t="str">
        <x:f>IF(OR(D212="",E212=""),"",IF(EXACT(D212,E212),"一致","差异"))</x:f>
      </x:c>
      <x:c r="G212" s="20"/>
      <x:c r="H212" s="20"/>
      <x:c r="I212" s="20"/>
      <x:c r="J212" s="20"/>
      <x:c r="K212" s="20"/>
      <x:c r="L212" s="20"/>
      <x:c r="M212" s="20"/>
      <x:c r="N212" s="20"/>
    </x:row>
    <x:row r="213">
      <x:c r="A213" s="20"/>
      <x:c r="B213" s="20"/>
      <x:c r="C213" s="20"/>
      <x:c r="D213" s="20"/>
      <x:c r="E213" s="20"/>
      <x:c r="F213" s="20" t="str">
        <x:f>IF(OR(D213="",E213=""),"",IF(EXACT(D213,E213),"一致","差异"))</x:f>
      </x:c>
      <x:c r="G213" s="20"/>
      <x:c r="H213" s="20"/>
      <x:c r="I213" s="20"/>
      <x:c r="J213" s="20"/>
      <x:c r="K213" s="20"/>
      <x:c r="L213" s="20"/>
      <x:c r="M213" s="20"/>
      <x:c r="N213" s="20"/>
    </x:row>
    <x:row r="214">
      <x:c r="A214" s="20"/>
      <x:c r="B214" s="20"/>
      <x:c r="C214" s="20"/>
      <x:c r="D214" s="20"/>
      <x:c r="E214" s="20"/>
      <x:c r="F214" s="20" t="str">
        <x:f>IF(OR(D214="",E214=""),"",IF(EXACT(D214,E214),"一致","差异"))</x:f>
      </x:c>
      <x:c r="G214" s="20"/>
      <x:c r="H214" s="20"/>
      <x:c r="I214" s="20"/>
      <x:c r="J214" s="20"/>
      <x:c r="K214" s="20"/>
      <x:c r="L214" s="20"/>
      <x:c r="M214" s="20"/>
      <x:c r="N214" s="20"/>
    </x:row>
    <x:row r="215">
      <x:c r="A215" s="20"/>
      <x:c r="B215" s="20"/>
      <x:c r="C215" s="20"/>
      <x:c r="D215" s="20"/>
      <x:c r="E215" s="20"/>
      <x:c r="F215" s="20" t="str">
        <x:f>IF(OR(D215="",E215=""),"",IF(EXACT(D215,E215),"一致","差异"))</x:f>
      </x:c>
      <x:c r="G215" s="20"/>
      <x:c r="H215" s="20"/>
      <x:c r="I215" s="20"/>
      <x:c r="J215" s="20"/>
      <x:c r="K215" s="20"/>
      <x:c r="L215" s="20"/>
      <x:c r="M215" s="20"/>
      <x:c r="N215" s="20"/>
    </x:row>
    <x:row r="216">
      <x:c r="A216" s="20"/>
      <x:c r="B216" s="20"/>
      <x:c r="C216" s="20"/>
      <x:c r="D216" s="20"/>
      <x:c r="E216" s="20"/>
      <x:c r="F216" s="20" t="str">
        <x:f>IF(OR(D216="",E216=""),"",IF(EXACT(D216,E216),"一致","差异"))</x:f>
      </x:c>
      <x:c r="G216" s="20"/>
      <x:c r="H216" s="20"/>
      <x:c r="I216" s="20"/>
      <x:c r="J216" s="20"/>
      <x:c r="K216" s="20"/>
      <x:c r="L216" s="20"/>
      <x:c r="M216" s="20"/>
      <x:c r="N216" s="20"/>
    </x:row>
    <x:row r="217">
      <x:c r="A217" s="20"/>
      <x:c r="B217" s="20"/>
      <x:c r="C217" s="20"/>
      <x:c r="D217" s="20"/>
      <x:c r="E217" s="20"/>
      <x:c r="F217" s="20" t="str">
        <x:f>IF(OR(D217="",E217=""),"",IF(EXACT(D217,E217),"一致","差异"))</x:f>
      </x:c>
      <x:c r="G217" s="20"/>
      <x:c r="H217" s="20"/>
      <x:c r="I217" s="20"/>
      <x:c r="J217" s="20"/>
      <x:c r="K217" s="20"/>
      <x:c r="L217" s="20"/>
      <x:c r="M217" s="20"/>
      <x:c r="N217" s="20"/>
    </x:row>
    <x:row r="218">
      <x:c r="A218" s="20"/>
      <x:c r="B218" s="20"/>
      <x:c r="C218" s="20"/>
      <x:c r="D218" s="20"/>
      <x:c r="E218" s="20"/>
      <x:c r="F218" s="20" t="str">
        <x:f>IF(OR(D218="",E218=""),"",IF(EXACT(D218,E218),"一致","差异"))</x:f>
      </x:c>
      <x:c r="G218" s="20"/>
      <x:c r="H218" s="20"/>
      <x:c r="I218" s="20"/>
      <x:c r="J218" s="20"/>
      <x:c r="K218" s="20"/>
      <x:c r="L218" s="20"/>
      <x:c r="M218" s="20"/>
      <x:c r="N218" s="20"/>
    </x:row>
    <x:row r="219">
      <x:c r="A219" s="20"/>
      <x:c r="B219" s="20"/>
      <x:c r="C219" s="20"/>
      <x:c r="D219" s="20"/>
      <x:c r="E219" s="20"/>
      <x:c r="F219" s="20" t="str">
        <x:f>IF(OR(D219="",E219=""),"",IF(EXACT(D219,E219),"一致","差异"))</x:f>
      </x:c>
      <x:c r="G219" s="20"/>
      <x:c r="H219" s="20"/>
      <x:c r="I219" s="20"/>
      <x:c r="J219" s="20"/>
      <x:c r="K219" s="20"/>
      <x:c r="L219" s="20"/>
      <x:c r="M219" s="20"/>
      <x:c r="N219" s="20"/>
    </x:row>
    <x:row r="220">
      <x:c r="A220" s="20"/>
      <x:c r="B220" s="20"/>
      <x:c r="C220" s="20"/>
      <x:c r="D220" s="20"/>
      <x:c r="E220" s="20"/>
      <x:c r="F220" s="20" t="str">
        <x:f>IF(OR(D220="",E220=""),"",IF(EXACT(D220,E220),"一致","差异"))</x:f>
      </x:c>
      <x:c r="G220" s="20"/>
      <x:c r="H220" s="20"/>
      <x:c r="I220" s="20"/>
      <x:c r="J220" s="20"/>
      <x:c r="K220" s="20"/>
      <x:c r="L220" s="20"/>
      <x:c r="M220" s="20"/>
      <x:c r="N220" s="20"/>
    </x:row>
    <x:row r="221">
      <x:c r="A221" s="20"/>
      <x:c r="B221" s="20"/>
      <x:c r="C221" s="20"/>
      <x:c r="D221" s="20"/>
      <x:c r="E221" s="20"/>
      <x:c r="F221" s="20" t="str">
        <x:f>IF(OR(D221="",E221=""),"",IF(EXACT(D221,E221),"一致","差异"))</x:f>
      </x:c>
      <x:c r="G221" s="20"/>
      <x:c r="H221" s="20"/>
      <x:c r="I221" s="20"/>
      <x:c r="J221" s="20"/>
      <x:c r="K221" s="20"/>
      <x:c r="L221" s="20"/>
      <x:c r="M221" s="20"/>
      <x:c r="N221" s="20"/>
    </x:row>
    <x:row r="222">
      <x:c r="A222" s="20"/>
      <x:c r="B222" s="20"/>
      <x:c r="C222" s="20"/>
      <x:c r="D222" s="20"/>
      <x:c r="E222" s="20"/>
      <x:c r="F222" s="20" t="str">
        <x:f>IF(OR(D222="",E222=""),"",IF(EXACT(D222,E222),"一致","差异"))</x:f>
      </x:c>
      <x:c r="G222" s="20"/>
      <x:c r="H222" s="20"/>
      <x:c r="I222" s="20"/>
      <x:c r="J222" s="20"/>
      <x:c r="K222" s="20"/>
      <x:c r="L222" s="20"/>
      <x:c r="M222" s="20"/>
      <x:c r="N222" s="20"/>
    </x:row>
    <x:row r="223">
      <x:c r="A223" s="20"/>
      <x:c r="B223" s="20"/>
      <x:c r="C223" s="20"/>
      <x:c r="D223" s="20"/>
      <x:c r="E223" s="20"/>
      <x:c r="F223" s="20" t="str">
        <x:f>IF(OR(D223="",E223=""),"",IF(EXACT(D223,E223),"一致","差异"))</x:f>
      </x:c>
      <x:c r="G223" s="20"/>
      <x:c r="H223" s="20"/>
      <x:c r="I223" s="20"/>
      <x:c r="J223" s="20"/>
      <x:c r="K223" s="20"/>
      <x:c r="L223" s="20"/>
      <x:c r="M223" s="20"/>
      <x:c r="N223" s="20"/>
    </x:row>
    <x:row r="224">
      <x:c r="A224" s="20"/>
      <x:c r="B224" s="20"/>
      <x:c r="C224" s="20"/>
      <x:c r="D224" s="20"/>
      <x:c r="E224" s="20"/>
      <x:c r="F224" s="20" t="str">
        <x:f>IF(OR(D224="",E224=""),"",IF(EXACT(D224,E224),"一致","差异"))</x:f>
      </x:c>
      <x:c r="G224" s="20"/>
      <x:c r="H224" s="20"/>
      <x:c r="I224" s="20"/>
      <x:c r="J224" s="20"/>
      <x:c r="K224" s="20"/>
      <x:c r="L224" s="20"/>
      <x:c r="M224" s="20"/>
      <x:c r="N224" s="20"/>
    </x:row>
    <x:row r="225">
      <x:c r="A225" s="20"/>
      <x:c r="B225" s="20"/>
      <x:c r="C225" s="20"/>
      <x:c r="D225" s="20"/>
      <x:c r="E225" s="20"/>
      <x:c r="F225" s="20" t="str">
        <x:f>IF(OR(D225="",E225=""),"",IF(EXACT(D225,E225),"一致","差异"))</x:f>
      </x:c>
      <x:c r="G225" s="20"/>
      <x:c r="H225" s="20"/>
      <x:c r="I225" s="20"/>
      <x:c r="J225" s="20"/>
      <x:c r="K225" s="20"/>
      <x:c r="L225" s="20"/>
      <x:c r="M225" s="20"/>
      <x:c r="N225" s="20"/>
    </x:row>
    <x:row r="226">
      <x:c r="A226" s="20"/>
      <x:c r="B226" s="20"/>
      <x:c r="C226" s="20"/>
      <x:c r="D226" s="20"/>
      <x:c r="E226" s="20"/>
      <x:c r="F226" s="20" t="str">
        <x:f>IF(OR(D226="",E226=""),"",IF(EXACT(D226,E226),"一致","差异"))</x:f>
      </x:c>
      <x:c r="G226" s="20"/>
      <x:c r="H226" s="20"/>
      <x:c r="I226" s="20"/>
      <x:c r="J226" s="20"/>
      <x:c r="K226" s="20"/>
      <x:c r="L226" s="20"/>
      <x:c r="M226" s="20"/>
      <x:c r="N226" s="20"/>
    </x:row>
    <x:row r="227">
      <x:c r="A227" s="20"/>
      <x:c r="B227" s="20"/>
      <x:c r="C227" s="20"/>
      <x:c r="D227" s="20"/>
      <x:c r="E227" s="20"/>
      <x:c r="F227" s="20" t="str">
        <x:f>IF(OR(D227="",E227=""),"",IF(EXACT(D227,E227),"一致","差异"))</x:f>
      </x:c>
      <x:c r="G227" s="20"/>
      <x:c r="H227" s="20"/>
      <x:c r="I227" s="20"/>
      <x:c r="J227" s="20"/>
      <x:c r="K227" s="20"/>
      <x:c r="L227" s="20"/>
      <x:c r="M227" s="20"/>
      <x:c r="N227" s="20"/>
    </x:row>
    <x:row r="228">
      <x:c r="A228" s="20"/>
      <x:c r="B228" s="20"/>
      <x:c r="C228" s="20"/>
      <x:c r="D228" s="20"/>
      <x:c r="E228" s="20"/>
      <x:c r="F228" s="20" t="str">
        <x:f>IF(OR(D228="",E228=""),"",IF(EXACT(D228,E228),"一致","差异"))</x:f>
      </x:c>
      <x:c r="G228" s="20"/>
      <x:c r="H228" s="20"/>
      <x:c r="I228" s="20"/>
      <x:c r="J228" s="20"/>
      <x:c r="K228" s="20"/>
      <x:c r="L228" s="20"/>
      <x:c r="M228" s="20"/>
      <x:c r="N228" s="20"/>
    </x:row>
    <x:row r="229">
      <x:c r="A229" s="20"/>
      <x:c r="B229" s="20"/>
      <x:c r="C229" s="20"/>
      <x:c r="D229" s="20"/>
      <x:c r="E229" s="20"/>
      <x:c r="F229" s="20" t="str">
        <x:f>IF(OR(D229="",E229=""),"",IF(EXACT(D229,E229),"一致","差异"))</x:f>
      </x:c>
      <x:c r="G229" s="20"/>
      <x:c r="H229" s="20"/>
      <x:c r="I229" s="20"/>
      <x:c r="J229" s="20"/>
      <x:c r="K229" s="20"/>
      <x:c r="L229" s="20"/>
      <x:c r="M229" s="20"/>
      <x:c r="N229" s="20"/>
    </x:row>
    <x:row r="230">
      <x:c r="A230" s="20"/>
      <x:c r="B230" s="20"/>
      <x:c r="C230" s="20"/>
      <x:c r="D230" s="20"/>
      <x:c r="E230" s="20"/>
      <x:c r="F230" s="20" t="str">
        <x:f>IF(OR(D230="",E230=""),"",IF(EXACT(D230,E230),"一致","差异"))</x:f>
      </x:c>
      <x:c r="G230" s="20"/>
      <x:c r="H230" s="20"/>
      <x:c r="I230" s="20"/>
      <x:c r="J230" s="20"/>
      <x:c r="K230" s="20"/>
      <x:c r="L230" s="20"/>
      <x:c r="M230" s="20"/>
      <x:c r="N230" s="20"/>
    </x:row>
    <x:row r="231">
      <x:c r="A231" s="20"/>
      <x:c r="B231" s="20"/>
      <x:c r="C231" s="20"/>
      <x:c r="D231" s="20"/>
      <x:c r="E231" s="20"/>
      <x:c r="F231" s="20" t="str">
        <x:f>IF(OR(D231="",E231=""),"",IF(EXACT(D231,E231),"一致","差异"))</x:f>
      </x:c>
      <x:c r="G231" s="20"/>
      <x:c r="H231" s="20"/>
      <x:c r="I231" s="20"/>
      <x:c r="J231" s="20"/>
      <x:c r="K231" s="20"/>
      <x:c r="L231" s="20"/>
      <x:c r="M231" s="20"/>
      <x:c r="N231" s="20"/>
    </x:row>
    <x:row r="232">
      <x:c r="A232" s="20"/>
      <x:c r="B232" s="20"/>
      <x:c r="C232" s="20"/>
      <x:c r="D232" s="20"/>
      <x:c r="E232" s="20"/>
      <x:c r="F232" s="20" t="str">
        <x:f>IF(OR(D232="",E232=""),"",IF(EXACT(D232,E232),"一致","差异"))</x:f>
      </x:c>
      <x:c r="G232" s="20"/>
      <x:c r="H232" s="20"/>
      <x:c r="I232" s="20"/>
      <x:c r="J232" s="20"/>
      <x:c r="K232" s="20"/>
      <x:c r="L232" s="20"/>
      <x:c r="M232" s="20"/>
      <x:c r="N232" s="20"/>
    </x:row>
    <x:row r="233">
      <x:c r="A233" s="20"/>
      <x:c r="B233" s="20"/>
      <x:c r="C233" s="20"/>
      <x:c r="D233" s="20"/>
      <x:c r="E233" s="20"/>
      <x:c r="F233" s="20" t="str">
        <x:f>IF(OR(D233="",E233=""),"",IF(EXACT(D233,E233),"一致","差异"))</x:f>
      </x:c>
      <x:c r="G233" s="20"/>
      <x:c r="H233" s="20"/>
      <x:c r="I233" s="20"/>
      <x:c r="J233" s="20"/>
      <x:c r="K233" s="20"/>
      <x:c r="L233" s="20"/>
      <x:c r="M233" s="20"/>
      <x:c r="N233" s="20"/>
    </x:row>
    <x:row r="234">
      <x:c r="A234" s="20"/>
      <x:c r="B234" s="20"/>
      <x:c r="C234" s="20"/>
      <x:c r="D234" s="20"/>
      <x:c r="E234" s="20"/>
      <x:c r="F234" s="20" t="str">
        <x:f>IF(OR(D234="",E234=""),"",IF(EXACT(D234,E234),"一致","差异"))</x:f>
      </x:c>
      <x:c r="G234" s="20"/>
      <x:c r="H234" s="20"/>
      <x:c r="I234" s="20"/>
      <x:c r="J234" s="20"/>
      <x:c r="K234" s="20"/>
      <x:c r="L234" s="20"/>
      <x:c r="M234" s="20"/>
      <x:c r="N234" s="20"/>
    </x:row>
    <x:row r="235">
      <x:c r="A235" s="20"/>
      <x:c r="B235" s="20"/>
      <x:c r="C235" s="20"/>
      <x:c r="D235" s="20"/>
      <x:c r="E235" s="20"/>
      <x:c r="F235" s="20" t="str">
        <x:f>IF(OR(D235="",E235=""),"",IF(EXACT(D235,E235),"一致","差异"))</x:f>
      </x:c>
      <x:c r="G235" s="20"/>
      <x:c r="H235" s="20"/>
      <x:c r="I235" s="20"/>
      <x:c r="J235" s="20"/>
      <x:c r="K235" s="20"/>
      <x:c r="L235" s="20"/>
      <x:c r="M235" s="20"/>
      <x:c r="N235" s="20"/>
    </x:row>
    <x:row r="236">
      <x:c r="A236" s="20"/>
      <x:c r="B236" s="20"/>
      <x:c r="C236" s="20"/>
      <x:c r="D236" s="20"/>
      <x:c r="E236" s="20"/>
      <x:c r="F236" s="20" t="str">
        <x:f>IF(OR(D236="",E236=""),"",IF(EXACT(D236,E236),"一致","差异"))</x:f>
      </x:c>
      <x:c r="G236" s="20"/>
      <x:c r="H236" s="20"/>
      <x:c r="I236" s="20"/>
      <x:c r="J236" s="20"/>
      <x:c r="K236" s="20"/>
      <x:c r="L236" s="20"/>
      <x:c r="M236" s="20"/>
      <x:c r="N236" s="20"/>
    </x:row>
    <x:row r="237">
      <x:c r="A237" s="20"/>
      <x:c r="B237" s="20"/>
      <x:c r="C237" s="20"/>
      <x:c r="D237" s="20"/>
      <x:c r="E237" s="20"/>
      <x:c r="F237" s="20" t="str">
        <x:f>IF(OR(D237="",E237=""),"",IF(EXACT(D237,E237),"一致","差异"))</x:f>
      </x:c>
      <x:c r="G237" s="20"/>
      <x:c r="H237" s="20"/>
      <x:c r="I237" s="20"/>
      <x:c r="J237" s="20"/>
      <x:c r="K237" s="20"/>
      <x:c r="L237" s="20"/>
      <x:c r="M237" s="20"/>
      <x:c r="N237" s="20"/>
    </x:row>
    <x:row r="238">
      <x:c r="A238" s="20"/>
      <x:c r="B238" s="20"/>
      <x:c r="C238" s="20"/>
      <x:c r="D238" s="20"/>
      <x:c r="E238" s="20"/>
      <x:c r="F238" s="20" t="str">
        <x:f>IF(OR(D238="",E238=""),"",IF(EXACT(D238,E238),"一致","差异"))</x:f>
      </x:c>
      <x:c r="G238" s="20"/>
      <x:c r="H238" s="20"/>
      <x:c r="I238" s="20"/>
      <x:c r="J238" s="20"/>
      <x:c r="K238" s="20"/>
      <x:c r="L238" s="20"/>
      <x:c r="M238" s="20"/>
      <x:c r="N238" s="20"/>
    </x:row>
    <x:row r="239">
      <x:c r="A239" s="20"/>
      <x:c r="B239" s="20"/>
      <x:c r="C239" s="20"/>
      <x:c r="D239" s="20"/>
      <x:c r="E239" s="20"/>
      <x:c r="F239" s="20" t="str">
        <x:f>IF(OR(D239="",E239=""),"",IF(EXACT(D239,E239),"一致","差异"))</x:f>
      </x:c>
      <x:c r="G239" s="20"/>
      <x:c r="H239" s="20"/>
      <x:c r="I239" s="20"/>
      <x:c r="J239" s="20"/>
      <x:c r="K239" s="20"/>
      <x:c r="L239" s="20"/>
      <x:c r="M239" s="20"/>
      <x:c r="N239" s="20"/>
    </x:row>
    <x:row r="240">
      <x:c r="A240" s="20"/>
      <x:c r="B240" s="20"/>
      <x:c r="C240" s="20"/>
      <x:c r="D240" s="20"/>
      <x:c r="E240" s="20"/>
      <x:c r="F240" s="20" t="str">
        <x:f>IF(OR(D240="",E240=""),"",IF(EXACT(D240,E240),"一致","差异"))</x:f>
      </x:c>
      <x:c r="G240" s="20"/>
      <x:c r="H240" s="20"/>
      <x:c r="I240" s="20"/>
      <x:c r="J240" s="20"/>
      <x:c r="K240" s="20"/>
      <x:c r="L240" s="20"/>
      <x:c r="M240" s="20"/>
      <x:c r="N240" s="20"/>
    </x:row>
    <x:row r="241">
      <x:c r="A241" s="20"/>
      <x:c r="B241" s="20"/>
      <x:c r="C241" s="20"/>
      <x:c r="D241" s="20"/>
      <x:c r="E241" s="20"/>
      <x:c r="F241" s="20" t="str">
        <x:f>IF(OR(D241="",E241=""),"",IF(EXACT(D241,E241),"一致","差异"))</x:f>
      </x:c>
      <x:c r="G241" s="20"/>
      <x:c r="H241" s="20"/>
      <x:c r="I241" s="20"/>
      <x:c r="J241" s="20"/>
      <x:c r="K241" s="20"/>
      <x:c r="L241" s="20"/>
      <x:c r="M241" s="20"/>
      <x:c r="N241" s="20"/>
    </x:row>
    <x:row r="242">
      <x:c r="A242" s="20"/>
      <x:c r="B242" s="20"/>
      <x:c r="C242" s="20"/>
      <x:c r="D242" s="20"/>
      <x:c r="E242" s="20"/>
      <x:c r="F242" s="20" t="str">
        <x:f>IF(OR(D242="",E242=""),"",IF(EXACT(D242,E242),"一致","差异"))</x:f>
      </x:c>
      <x:c r="G242" s="20"/>
      <x:c r="H242" s="20"/>
      <x:c r="I242" s="20"/>
      <x:c r="J242" s="20"/>
      <x:c r="K242" s="20"/>
      <x:c r="L242" s="20"/>
      <x:c r="M242" s="20"/>
      <x:c r="N242" s="20"/>
    </x:row>
    <x:row r="243">
      <x:c r="A243" s="20"/>
      <x:c r="B243" s="20"/>
      <x:c r="C243" s="20"/>
      <x:c r="D243" s="20"/>
      <x:c r="E243" s="20"/>
      <x:c r="F243" s="20" t="str">
        <x:f>IF(OR(D243="",E243=""),"",IF(EXACT(D243,E243),"一致","差异"))</x:f>
      </x:c>
      <x:c r="G243" s="20"/>
      <x:c r="H243" s="20"/>
      <x:c r="I243" s="20"/>
      <x:c r="J243" s="20"/>
      <x:c r="K243" s="20"/>
      <x:c r="L243" s="20"/>
      <x:c r="M243" s="20"/>
      <x:c r="N243" s="20"/>
    </x:row>
    <x:row r="244">
      <x:c r="A244" s="20"/>
      <x:c r="B244" s="20"/>
      <x:c r="C244" s="20"/>
      <x:c r="D244" s="20"/>
      <x:c r="E244" s="20"/>
      <x:c r="F244" s="20" t="str">
        <x:f>IF(OR(D244="",E244=""),"",IF(EXACT(D244,E244),"一致","差异"))</x:f>
      </x:c>
      <x:c r="G244" s="20"/>
      <x:c r="H244" s="20"/>
      <x:c r="I244" s="20"/>
      <x:c r="J244" s="20"/>
      <x:c r="K244" s="20"/>
      <x:c r="L244" s="20"/>
      <x:c r="M244" s="20"/>
      <x:c r="N244" s="20"/>
    </x:row>
    <x:row r="245">
      <x:c r="A245" s="20"/>
      <x:c r="B245" s="20"/>
      <x:c r="C245" s="20"/>
      <x:c r="D245" s="20"/>
      <x:c r="E245" s="20"/>
      <x:c r="F245" s="20" t="str">
        <x:f>IF(OR(D245="",E245=""),"",IF(EXACT(D245,E245),"一致","差异"))</x:f>
      </x:c>
      <x:c r="G245" s="20"/>
      <x:c r="H245" s="20"/>
      <x:c r="I245" s="20"/>
      <x:c r="J245" s="20"/>
      <x:c r="K245" s="20"/>
      <x:c r="L245" s="20"/>
      <x:c r="M245" s="20"/>
      <x:c r="N245" s="20"/>
    </x:row>
    <x:row r="246">
      <x:c r="A246" s="20"/>
      <x:c r="B246" s="20"/>
      <x:c r="C246" s="20"/>
      <x:c r="D246" s="20"/>
      <x:c r="E246" s="20"/>
      <x:c r="F246" s="20" t="str">
        <x:f>IF(OR(D246="",E246=""),"",IF(EXACT(D246,E246),"一致","差异"))</x:f>
      </x:c>
      <x:c r="G246" s="20"/>
      <x:c r="H246" s="20"/>
      <x:c r="I246" s="20"/>
      <x:c r="J246" s="20"/>
      <x:c r="K246" s="20"/>
      <x:c r="L246" s="20"/>
      <x:c r="M246" s="20"/>
      <x:c r="N246" s="20"/>
    </x:row>
    <x:row r="247">
      <x:c r="A247" s="20"/>
      <x:c r="B247" s="20"/>
      <x:c r="C247" s="20"/>
      <x:c r="D247" s="20"/>
      <x:c r="E247" s="20"/>
      <x:c r="F247" s="20" t="str">
        <x:f>IF(OR(D247="",E247=""),"",IF(EXACT(D247,E247),"一致","差异"))</x:f>
      </x:c>
      <x:c r="G247" s="20"/>
      <x:c r="H247" s="20"/>
      <x:c r="I247" s="20"/>
      <x:c r="J247" s="20"/>
      <x:c r="K247" s="20"/>
      <x:c r="L247" s="20"/>
      <x:c r="M247" s="20"/>
      <x:c r="N247" s="20"/>
    </x:row>
    <x:row r="248">
      <x:c r="A248" s="20"/>
      <x:c r="B248" s="20"/>
      <x:c r="C248" s="20"/>
      <x:c r="D248" s="20"/>
      <x:c r="E248" s="20"/>
      <x:c r="F248" s="20" t="str">
        <x:f>IF(OR(D248="",E248=""),"",IF(EXACT(D248,E248),"一致","差异"))</x:f>
      </x:c>
      <x:c r="G248" s="20"/>
      <x:c r="H248" s="20"/>
      <x:c r="I248" s="20"/>
      <x:c r="J248" s="20"/>
      <x:c r="K248" s="20"/>
      <x:c r="L248" s="20"/>
      <x:c r="M248" s="20"/>
      <x:c r="N248" s="20"/>
    </x:row>
    <x:row r="249">
      <x:c r="A249" s="20"/>
      <x:c r="B249" s="20"/>
      <x:c r="C249" s="20"/>
      <x:c r="D249" s="20"/>
      <x:c r="E249" s="20"/>
      <x:c r="F249" s="20" t="str">
        <x:f>IF(OR(D249="",E249=""),"",IF(EXACT(D249,E249),"一致","差异"))</x:f>
      </x:c>
      <x:c r="G249" s="20"/>
      <x:c r="H249" s="20"/>
      <x:c r="I249" s="20"/>
      <x:c r="J249" s="20"/>
      <x:c r="K249" s="20"/>
      <x:c r="L249" s="20"/>
      <x:c r="M249" s="20"/>
      <x:c r="N249" s="20"/>
    </x:row>
    <x:row r="250">
      <x:c r="A250" s="20"/>
      <x:c r="B250" s="20"/>
      <x:c r="C250" s="20"/>
      <x:c r="D250" s="20"/>
      <x:c r="E250" s="20"/>
      <x:c r="F250" s="20" t="str">
        <x:f>IF(OR(D250="",E250=""),"",IF(EXACT(D250,E250),"一致","差异"))</x:f>
      </x:c>
      <x:c r="G250" s="20"/>
      <x:c r="H250" s="20"/>
      <x:c r="I250" s="20"/>
      <x:c r="J250" s="20"/>
      <x:c r="K250" s="20"/>
      <x:c r="L250" s="20"/>
      <x:c r="M250" s="20"/>
      <x:c r="N250" s="20"/>
    </x:row>
    <x:row r="251">
      <x:c r="A251" s="20"/>
      <x:c r="B251" s="20"/>
      <x:c r="C251" s="20"/>
      <x:c r="D251" s="20"/>
      <x:c r="E251" s="20"/>
      <x:c r="F251" s="20" t="str">
        <x:f>IF(OR(D251="",E251=""),"",IF(EXACT(D251,E251),"一致","差异"))</x:f>
      </x:c>
      <x:c r="G251" s="20"/>
      <x:c r="H251" s="20"/>
      <x:c r="I251" s="20"/>
      <x:c r="J251" s="20"/>
      <x:c r="K251" s="20"/>
      <x:c r="L251" s="20"/>
      <x:c r="M251" s="20"/>
      <x:c r="N251" s="20"/>
    </x:row>
    <x:row r="252">
      <x:c r="A252" s="20"/>
      <x:c r="B252" s="20"/>
      <x:c r="C252" s="20"/>
      <x:c r="D252" s="20"/>
      <x:c r="E252" s="20"/>
      <x:c r="F252" s="20" t="str">
        <x:f>IF(OR(D252="",E252=""),"",IF(EXACT(D252,E252),"一致","差异"))</x:f>
      </x:c>
      <x:c r="G252" s="20"/>
      <x:c r="H252" s="20"/>
      <x:c r="I252" s="20"/>
      <x:c r="J252" s="20"/>
      <x:c r="K252" s="20"/>
      <x:c r="L252" s="20"/>
      <x:c r="M252" s="20"/>
      <x:c r="N252" s="20"/>
    </x:row>
    <x:row r="253">
      <x:c r="A253" s="20"/>
      <x:c r="B253" s="20"/>
      <x:c r="C253" s="20"/>
      <x:c r="D253" s="20"/>
      <x:c r="E253" s="20"/>
      <x:c r="F253" s="20" t="str">
        <x:f>IF(OR(D253="",E253=""),"",IF(EXACT(D253,E253),"一致","差异"))</x:f>
      </x:c>
      <x:c r="G253" s="20"/>
      <x:c r="H253" s="20"/>
      <x:c r="I253" s="20"/>
      <x:c r="J253" s="20"/>
      <x:c r="K253" s="20"/>
      <x:c r="L253" s="20"/>
      <x:c r="M253" s="20"/>
      <x:c r="N253" s="20"/>
    </x:row>
    <x:row r="254">
      <x:c r="A254" s="20"/>
      <x:c r="B254" s="20"/>
      <x:c r="C254" s="20"/>
      <x:c r="D254" s="20"/>
      <x:c r="E254" s="20"/>
      <x:c r="F254" s="20" t="str">
        <x:f>IF(OR(D254="",E254=""),"",IF(EXACT(D254,E254),"一致","差异"))</x:f>
      </x:c>
      <x:c r="G254" s="20"/>
      <x:c r="H254" s="20"/>
      <x:c r="I254" s="20"/>
      <x:c r="J254" s="20"/>
      <x:c r="K254" s="20"/>
      <x:c r="L254" s="20"/>
      <x:c r="M254" s="20"/>
      <x:c r="N254" s="20"/>
    </x:row>
    <x:row r="255">
      <x:c r="A255" s="20"/>
      <x:c r="B255" s="20"/>
      <x:c r="C255" s="20"/>
      <x:c r="D255" s="20"/>
      <x:c r="E255" s="20"/>
      <x:c r="F255" s="20" t="str">
        <x:f>IF(OR(D255="",E255=""),"",IF(EXACT(D255,E255),"一致","差异"))</x:f>
      </x:c>
      <x:c r="G255" s="20"/>
      <x:c r="H255" s="20"/>
      <x:c r="I255" s="20"/>
      <x:c r="J255" s="20"/>
      <x:c r="K255" s="20"/>
      <x:c r="L255" s="20"/>
      <x:c r="M255" s="20"/>
      <x:c r="N255" s="20"/>
    </x:row>
    <x:row r="256">
      <x:c r="A256" s="20"/>
      <x:c r="B256" s="20"/>
      <x:c r="C256" s="20"/>
      <x:c r="D256" s="20"/>
      <x:c r="E256" s="20"/>
      <x:c r="F256" s="20" t="str">
        <x:f>IF(OR(D256="",E256=""),"",IF(EXACT(D256,E256),"一致","差异"))</x:f>
      </x:c>
      <x:c r="G256" s="20"/>
      <x:c r="H256" s="20"/>
      <x:c r="I256" s="20"/>
      <x:c r="J256" s="20"/>
      <x:c r="K256" s="20"/>
      <x:c r="L256" s="20"/>
      <x:c r="M256" s="20"/>
      <x:c r="N256" s="20"/>
    </x:row>
    <x:row r="257">
      <x:c r="A257" s="20"/>
      <x:c r="B257" s="20"/>
      <x:c r="C257" s="20"/>
      <x:c r="D257" s="20"/>
      <x:c r="E257" s="20"/>
      <x:c r="F257" s="20" t="str">
        <x:f>IF(OR(D257="",E257=""),"",IF(EXACT(D257,E257),"一致","差异"))</x:f>
      </x:c>
      <x:c r="G257" s="20"/>
      <x:c r="H257" s="20"/>
      <x:c r="I257" s="20"/>
      <x:c r="J257" s="20"/>
      <x:c r="K257" s="20"/>
      <x:c r="L257" s="20"/>
      <x:c r="M257" s="20"/>
      <x:c r="N257" s="20"/>
    </x:row>
    <x:row r="258">
      <x:c r="A258" s="20"/>
      <x:c r="B258" s="20"/>
      <x:c r="C258" s="20"/>
      <x:c r="D258" s="20"/>
      <x:c r="E258" s="20"/>
      <x:c r="F258" s="20" t="str">
        <x:f>IF(OR(D258="",E258=""),"",IF(EXACT(D258,E258),"一致","差异"))</x:f>
      </x:c>
      <x:c r="G258" s="20"/>
      <x:c r="H258" s="20"/>
      <x:c r="I258" s="20"/>
      <x:c r="J258" s="20"/>
      <x:c r="K258" s="20"/>
      <x:c r="L258" s="20"/>
      <x:c r="M258" s="20"/>
      <x:c r="N258" s="20"/>
    </x:row>
    <x:row r="259">
      <x:c r="A259" s="20"/>
      <x:c r="B259" s="20"/>
      <x:c r="C259" s="20"/>
      <x:c r="D259" s="20"/>
      <x:c r="E259" s="20"/>
      <x:c r="F259" s="20" t="str">
        <x:f>IF(OR(D259="",E259=""),"",IF(EXACT(D259,E259),"一致","差异"))</x:f>
      </x:c>
      <x:c r="G259" s="20"/>
      <x:c r="H259" s="20"/>
      <x:c r="I259" s="20"/>
      <x:c r="J259" s="20"/>
      <x:c r="K259" s="20"/>
      <x:c r="L259" s="20"/>
      <x:c r="M259" s="20"/>
      <x:c r="N259" s="20"/>
    </x:row>
    <x:row r="260">
      <x:c r="A260" s="20"/>
      <x:c r="B260" s="20"/>
      <x:c r="C260" s="20"/>
      <x:c r="D260" s="20"/>
      <x:c r="E260" s="20"/>
      <x:c r="F260" s="20" t="str">
        <x:f>IF(OR(D260="",E260=""),"",IF(EXACT(D260,E260),"一致","差异"))</x:f>
      </x:c>
      <x:c r="G260" s="20"/>
      <x:c r="H260" s="20"/>
      <x:c r="I260" s="20"/>
      <x:c r="J260" s="20"/>
      <x:c r="K260" s="20"/>
      <x:c r="L260" s="20"/>
      <x:c r="M260" s="20"/>
      <x:c r="N260" s="20"/>
    </x:row>
    <x:row r="261">
      <x:c r="A261" s="20"/>
      <x:c r="B261" s="20"/>
      <x:c r="C261" s="20"/>
      <x:c r="D261" s="20"/>
      <x:c r="E261" s="20"/>
      <x:c r="F261" s="20" t="str">
        <x:f>IF(OR(D261="",E261=""),"",IF(EXACT(D261,E261),"一致","差异"))</x:f>
      </x:c>
      <x:c r="G261" s="20"/>
      <x:c r="H261" s="20"/>
      <x:c r="I261" s="20"/>
      <x:c r="J261" s="20"/>
      <x:c r="K261" s="20"/>
      <x:c r="L261" s="20"/>
      <x:c r="M261" s="20"/>
      <x:c r="N261" s="20"/>
    </x:row>
    <x:row r="262">
      <x:c r="A262" s="20"/>
      <x:c r="B262" s="20"/>
      <x:c r="C262" s="20"/>
      <x:c r="D262" s="20"/>
      <x:c r="E262" s="20"/>
      <x:c r="F262" s="20" t="str">
        <x:f>IF(OR(D262="",E262=""),"",IF(EXACT(D262,E262),"一致","差异"))</x:f>
      </x:c>
      <x:c r="G262" s="20"/>
      <x:c r="H262" s="20"/>
      <x:c r="I262" s="20"/>
      <x:c r="J262" s="20"/>
      <x:c r="K262" s="20"/>
      <x:c r="L262" s="20"/>
      <x:c r="M262" s="20"/>
      <x:c r="N262" s="20"/>
    </x:row>
    <x:row r="263">
      <x:c r="A263" s="20"/>
      <x:c r="B263" s="20"/>
      <x:c r="C263" s="20"/>
      <x:c r="D263" s="20"/>
      <x:c r="E263" s="20"/>
      <x:c r="F263" s="20" t="str">
        <x:f>IF(OR(D263="",E263=""),"",IF(EXACT(D263,E263),"一致","差异"))</x:f>
      </x:c>
      <x:c r="G263" s="20"/>
      <x:c r="H263" s="20"/>
      <x:c r="I263" s="20"/>
      <x:c r="J263" s="20"/>
      <x:c r="K263" s="20"/>
      <x:c r="L263" s="20"/>
      <x:c r="M263" s="20"/>
      <x:c r="N263" s="20"/>
    </x:row>
    <x:row r="264">
      <x:c r="A264" s="20"/>
      <x:c r="B264" s="20"/>
      <x:c r="C264" s="20"/>
      <x:c r="D264" s="20"/>
      <x:c r="E264" s="20"/>
      <x:c r="F264" s="20" t="str">
        <x:f>IF(OR(D264="",E264=""),"",IF(EXACT(D264,E264),"一致","差异"))</x:f>
      </x:c>
      <x:c r="G264" s="20"/>
      <x:c r="H264" s="20"/>
      <x:c r="I264" s="20"/>
      <x:c r="J264" s="20"/>
      <x:c r="K264" s="20"/>
      <x:c r="L264" s="20"/>
      <x:c r="M264" s="20"/>
      <x:c r="N264" s="20"/>
    </x:row>
    <x:row r="265">
      <x:c r="A265" s="20"/>
      <x:c r="B265" s="20"/>
      <x:c r="C265" s="20"/>
      <x:c r="D265" s="20"/>
      <x:c r="E265" s="20"/>
      <x:c r="F265" s="20" t="str">
        <x:f>IF(OR(D265="",E265=""),"",IF(EXACT(D265,E265),"一致","差异"))</x:f>
      </x:c>
      <x:c r="G265" s="20"/>
      <x:c r="H265" s="20"/>
      <x:c r="I265" s="20"/>
      <x:c r="J265" s="20"/>
      <x:c r="K265" s="20"/>
      <x:c r="L265" s="20"/>
      <x:c r="M265" s="20"/>
      <x:c r="N265" s="20"/>
    </x:row>
    <x:row r="266">
      <x:c r="A266" s="20"/>
      <x:c r="B266" s="20"/>
      <x:c r="C266" s="20"/>
      <x:c r="D266" s="20"/>
      <x:c r="E266" s="20"/>
      <x:c r="F266" s="20" t="str">
        <x:f>IF(OR(D266="",E266=""),"",IF(EXACT(D266,E266),"一致","差异"))</x:f>
      </x:c>
      <x:c r="G266" s="20"/>
      <x:c r="H266" s="20"/>
      <x:c r="I266" s="20"/>
      <x:c r="J266" s="20"/>
      <x:c r="K266" s="20"/>
      <x:c r="L266" s="20"/>
      <x:c r="M266" s="20"/>
      <x:c r="N266" s="20"/>
    </x:row>
    <x:row r="267">
      <x:c r="A267" s="20"/>
      <x:c r="B267" s="20"/>
      <x:c r="C267" s="20"/>
      <x:c r="D267" s="20"/>
      <x:c r="E267" s="20"/>
      <x:c r="F267" s="20" t="str">
        <x:f>IF(OR(D267="",E267=""),"",IF(EXACT(D267,E267),"一致","差异"))</x:f>
      </x:c>
      <x:c r="G267" s="20"/>
      <x:c r="H267" s="20"/>
      <x:c r="I267" s="20"/>
      <x:c r="J267" s="20"/>
      <x:c r="K267" s="20"/>
      <x:c r="L267" s="20"/>
      <x:c r="M267" s="20"/>
      <x:c r="N267" s="20"/>
    </x:row>
    <x:row r="268">
      <x:c r="A268" s="20"/>
      <x:c r="B268" s="20"/>
      <x:c r="C268" s="20"/>
      <x:c r="D268" s="20"/>
      <x:c r="E268" s="20"/>
      <x:c r="F268" s="20" t="str">
        <x:f>IF(OR(D268="",E268=""),"",IF(EXACT(D268,E268),"一致","差异"))</x:f>
      </x:c>
      <x:c r="G268" s="20"/>
      <x:c r="H268" s="20"/>
      <x:c r="I268" s="20"/>
      <x:c r="J268" s="20"/>
      <x:c r="K268" s="20"/>
      <x:c r="L268" s="20"/>
      <x:c r="M268" s="20"/>
      <x:c r="N268" s="20"/>
    </x:row>
    <x:row r="269">
      <x:c r="A269" s="20"/>
      <x:c r="B269" s="20"/>
      <x:c r="C269" s="20"/>
      <x:c r="D269" s="20"/>
      <x:c r="E269" s="20"/>
      <x:c r="F269" s="20" t="str">
        <x:f>IF(OR(D269="",E269=""),"",IF(EXACT(D269,E269),"一致","差异"))</x:f>
      </x:c>
      <x:c r="G269" s="20"/>
      <x:c r="H269" s="20"/>
      <x:c r="I269" s="20"/>
      <x:c r="J269" s="20"/>
      <x:c r="K269" s="20"/>
      <x:c r="L269" s="20"/>
      <x:c r="M269" s="20"/>
      <x:c r="N269" s="20"/>
    </x:row>
    <x:row r="270">
      <x:c r="A270" s="20"/>
      <x:c r="B270" s="20"/>
      <x:c r="C270" s="20"/>
      <x:c r="D270" s="20"/>
      <x:c r="E270" s="20"/>
      <x:c r="F270" s="20" t="str">
        <x:f>IF(OR(D270="",E270=""),"",IF(EXACT(D270,E270),"一致","差异"))</x:f>
      </x:c>
      <x:c r="G270" s="20"/>
      <x:c r="H270" s="20"/>
      <x:c r="I270" s="20"/>
      <x:c r="J270" s="20"/>
      <x:c r="K270" s="20"/>
      <x:c r="L270" s="20"/>
      <x:c r="M270" s="20"/>
      <x:c r="N270" s="20"/>
    </x:row>
    <x:row r="271">
      <x:c r="A271" s="20"/>
      <x:c r="B271" s="20"/>
      <x:c r="C271" s="20"/>
      <x:c r="D271" s="20"/>
      <x:c r="E271" s="20"/>
      <x:c r="F271" s="20" t="str">
        <x:f>IF(OR(D271="",E271=""),"",IF(EXACT(D271,E271),"一致","差异"))</x:f>
      </x:c>
      <x:c r="G271" s="20"/>
      <x:c r="H271" s="20"/>
      <x:c r="I271" s="20"/>
      <x:c r="J271" s="20"/>
      <x:c r="K271" s="20"/>
      <x:c r="L271" s="20"/>
      <x:c r="M271" s="20"/>
      <x:c r="N271" s="20"/>
    </x:row>
    <x:row r="272">
      <x:c r="A272" s="20"/>
      <x:c r="B272" s="20"/>
      <x:c r="C272" s="20"/>
      <x:c r="D272" s="20"/>
      <x:c r="E272" s="20"/>
      <x:c r="F272" s="20" t="str">
        <x:f>IF(OR(D272="",E272=""),"",IF(EXACT(D272,E272),"一致","差异"))</x:f>
      </x:c>
      <x:c r="G272" s="20"/>
      <x:c r="H272" s="20"/>
      <x:c r="I272" s="20"/>
      <x:c r="J272" s="20"/>
      <x:c r="K272" s="20"/>
      <x:c r="L272" s="20"/>
      <x:c r="M272" s="20"/>
      <x:c r="N272" s="20"/>
    </x:row>
    <x:row r="273">
      <x:c r="A273" s="20"/>
      <x:c r="B273" s="20"/>
      <x:c r="C273" s="20"/>
      <x:c r="D273" s="20"/>
      <x:c r="E273" s="20"/>
      <x:c r="F273" s="20" t="str">
        <x:f>IF(OR(D273="",E273=""),"",IF(EXACT(D273,E273),"一致","差异"))</x:f>
      </x:c>
      <x:c r="G273" s="20"/>
      <x:c r="H273" s="20"/>
      <x:c r="I273" s="20"/>
      <x:c r="J273" s="20"/>
      <x:c r="K273" s="20"/>
      <x:c r="L273" s="20"/>
      <x:c r="M273" s="20"/>
      <x:c r="N273" s="20"/>
    </x:row>
    <x:row r="274">
      <x:c r="A274" s="20"/>
      <x:c r="B274" s="20"/>
      <x:c r="C274" s="20"/>
      <x:c r="D274" s="20"/>
      <x:c r="E274" s="20"/>
      <x:c r="F274" s="20" t="str">
        <x:f>IF(OR(D274="",E274=""),"",IF(EXACT(D274,E274),"一致","差异"))</x:f>
      </x:c>
      <x:c r="G274" s="20"/>
      <x:c r="H274" s="20"/>
      <x:c r="I274" s="20"/>
      <x:c r="J274" s="20"/>
      <x:c r="K274" s="20"/>
      <x:c r="L274" s="20"/>
      <x:c r="M274" s="20"/>
      <x:c r="N274" s="20"/>
    </x:row>
    <x:row r="275">
      <x:c r="A275" s="20"/>
      <x:c r="B275" s="20"/>
      <x:c r="C275" s="20"/>
      <x:c r="D275" s="20"/>
      <x:c r="E275" s="20"/>
      <x:c r="F275" s="20" t="str">
        <x:f>IF(OR(D275="",E275=""),"",IF(EXACT(D275,E275),"一致","差异"))</x:f>
      </x:c>
      <x:c r="G275" s="20"/>
      <x:c r="H275" s="20"/>
      <x:c r="I275" s="20"/>
      <x:c r="J275" s="20"/>
      <x:c r="K275" s="20"/>
      <x:c r="L275" s="20"/>
      <x:c r="M275" s="20"/>
      <x:c r="N275" s="20"/>
    </x:row>
    <x:row r="276">
      <x:c r="A276" s="20"/>
      <x:c r="B276" s="20"/>
      <x:c r="C276" s="20"/>
      <x:c r="D276" s="20"/>
      <x:c r="E276" s="20"/>
      <x:c r="F276" s="20" t="str">
        <x:f>IF(OR(D276="",E276=""),"",IF(EXACT(D276,E276),"一致","差异"))</x:f>
      </x:c>
      <x:c r="G276" s="20"/>
      <x:c r="H276" s="20"/>
      <x:c r="I276" s="20"/>
      <x:c r="J276" s="20"/>
      <x:c r="K276" s="20"/>
      <x:c r="L276" s="20"/>
      <x:c r="M276" s="20"/>
      <x:c r="N276" s="20"/>
    </x:row>
    <x:row r="277">
      <x:c r="A277" s="20"/>
      <x:c r="B277" s="20"/>
      <x:c r="C277" s="20"/>
      <x:c r="D277" s="20"/>
      <x:c r="E277" s="20"/>
      <x:c r="F277" s="20" t="str">
        <x:f>IF(OR(D277="",E277=""),"",IF(EXACT(D277,E277),"一致","差异"))</x:f>
      </x:c>
      <x:c r="G277" s="20"/>
      <x:c r="H277" s="20"/>
      <x:c r="I277" s="20"/>
      <x:c r="J277" s="20"/>
      <x:c r="K277" s="20"/>
      <x:c r="L277" s="20"/>
      <x:c r="M277" s="20"/>
      <x:c r="N277" s="20"/>
    </x:row>
    <x:row r="278">
      <x:c r="A278" s="20"/>
      <x:c r="B278" s="20"/>
      <x:c r="C278" s="20"/>
      <x:c r="D278" s="20"/>
      <x:c r="E278" s="20"/>
      <x:c r="F278" s="20" t="str">
        <x:f>IF(OR(D278="",E278=""),"",IF(EXACT(D278,E278),"一致","差异"))</x:f>
      </x:c>
      <x:c r="G278" s="20"/>
      <x:c r="H278" s="20"/>
      <x:c r="I278" s="20"/>
      <x:c r="J278" s="20"/>
      <x:c r="K278" s="20"/>
      <x:c r="L278" s="20"/>
      <x:c r="M278" s="20"/>
      <x:c r="N278" s="20"/>
    </x:row>
    <x:row r="279">
      <x:c r="A279" s="20"/>
      <x:c r="B279" s="20"/>
      <x:c r="C279" s="20"/>
      <x:c r="D279" s="20"/>
      <x:c r="E279" s="20"/>
      <x:c r="F279" s="20" t="str">
        <x:f>IF(OR(D279="",E279=""),"",IF(EXACT(D279,E279),"一致","差异"))</x:f>
      </x:c>
      <x:c r="G279" s="20"/>
      <x:c r="H279" s="20"/>
      <x:c r="I279" s="20"/>
      <x:c r="J279" s="20"/>
      <x:c r="K279" s="20"/>
      <x:c r="L279" s="20"/>
      <x:c r="M279" s="20"/>
      <x:c r="N279" s="20"/>
    </x:row>
    <x:row r="280">
      <x:c r="A280" s="20"/>
      <x:c r="B280" s="20"/>
      <x:c r="C280" s="20"/>
      <x:c r="D280" s="20"/>
      <x:c r="E280" s="20"/>
      <x:c r="F280" s="20" t="str">
        <x:f>IF(OR(D280="",E280=""),"",IF(EXACT(D280,E280),"一致","差异"))</x:f>
      </x:c>
      <x:c r="G280" s="20"/>
      <x:c r="H280" s="20"/>
      <x:c r="I280" s="20"/>
      <x:c r="J280" s="20"/>
      <x:c r="K280" s="20"/>
      <x:c r="L280" s="20"/>
      <x:c r="M280" s="20"/>
      <x:c r="N280" s="20"/>
    </x:row>
    <x:row r="281">
      <x:c r="A281" s="20"/>
      <x:c r="B281" s="20"/>
      <x:c r="C281" s="20"/>
      <x:c r="D281" s="20"/>
      <x:c r="E281" s="20"/>
      <x:c r="F281" s="20" t="str">
        <x:f>IF(OR(D281="",E281=""),"",IF(EXACT(D281,E281),"一致","差异"))</x:f>
      </x:c>
      <x:c r="G281" s="20"/>
      <x:c r="H281" s="20"/>
      <x:c r="I281" s="20"/>
      <x:c r="J281" s="20"/>
      <x:c r="K281" s="20"/>
      <x:c r="L281" s="20"/>
      <x:c r="M281" s="20"/>
      <x:c r="N281" s="20"/>
    </x:row>
    <x:row r="282">
      <x:c r="A282" s="20"/>
      <x:c r="B282" s="20"/>
      <x:c r="C282" s="20"/>
      <x:c r="D282" s="20"/>
      <x:c r="E282" s="20"/>
      <x:c r="F282" s="20" t="str">
        <x:f>IF(OR(D282="",E282=""),"",IF(EXACT(D282,E282),"一致","差异"))</x:f>
      </x:c>
      <x:c r="G282" s="20"/>
      <x:c r="H282" s="20"/>
      <x:c r="I282" s="20"/>
      <x:c r="J282" s="20"/>
      <x:c r="K282" s="20"/>
      <x:c r="L282" s="20"/>
      <x:c r="M282" s="20"/>
      <x:c r="N282" s="20"/>
    </x:row>
    <x:row r="283">
      <x:c r="A283" s="20"/>
      <x:c r="B283" s="20"/>
      <x:c r="C283" s="20"/>
      <x:c r="D283" s="20"/>
      <x:c r="E283" s="20"/>
      <x:c r="F283" s="20" t="str">
        <x:f>IF(OR(D283="",E283=""),"",IF(EXACT(D283,E283),"一致","差异"))</x:f>
      </x:c>
      <x:c r="G283" s="20"/>
      <x:c r="H283" s="20"/>
      <x:c r="I283" s="20"/>
      <x:c r="J283" s="20"/>
      <x:c r="K283" s="20"/>
      <x:c r="L283" s="20"/>
      <x:c r="M283" s="20"/>
      <x:c r="N283" s="20"/>
    </x:row>
    <x:row r="284">
      <x:c r="A284" s="20"/>
      <x:c r="B284" s="20"/>
      <x:c r="C284" s="20"/>
      <x:c r="D284" s="20"/>
      <x:c r="E284" s="20"/>
      <x:c r="F284" s="20" t="str">
        <x:f>IF(OR(D284="",E284=""),"",IF(EXACT(D284,E284),"一致","差异"))</x:f>
      </x:c>
      <x:c r="G284" s="20"/>
      <x:c r="H284" s="20"/>
      <x:c r="I284" s="20"/>
      <x:c r="J284" s="20"/>
      <x:c r="K284" s="20"/>
      <x:c r="L284" s="20"/>
      <x:c r="M284" s="20"/>
      <x:c r="N284" s="20"/>
    </x:row>
    <x:row r="285">
      <x:c r="A285" s="20"/>
      <x:c r="B285" s="20"/>
      <x:c r="C285" s="20"/>
      <x:c r="D285" s="20"/>
      <x:c r="E285" s="20"/>
      <x:c r="F285" s="20" t="str">
        <x:f>IF(OR(D285="",E285=""),"",IF(EXACT(D285,E285),"一致","差异"))</x:f>
      </x:c>
      <x:c r="G285" s="20"/>
      <x:c r="H285" s="20"/>
      <x:c r="I285" s="20"/>
      <x:c r="J285" s="20"/>
      <x:c r="K285" s="20"/>
      <x:c r="L285" s="20"/>
      <x:c r="M285" s="20"/>
      <x:c r="N285" s="20"/>
    </x:row>
    <x:row r="286">
      <x:c r="A286" s="20"/>
      <x:c r="B286" s="20"/>
      <x:c r="C286" s="20"/>
      <x:c r="D286" s="20"/>
      <x:c r="E286" s="20"/>
      <x:c r="F286" s="20" t="str">
        <x:f>IF(OR(D286="",E286=""),"",IF(EXACT(D286,E286),"一致","差异"))</x:f>
      </x:c>
      <x:c r="G286" s="20"/>
      <x:c r="H286" s="20"/>
      <x:c r="I286" s="20"/>
      <x:c r="J286" s="20"/>
      <x:c r="K286" s="20"/>
      <x:c r="L286" s="20"/>
      <x:c r="M286" s="20"/>
      <x:c r="N286" s="20"/>
    </x:row>
    <x:row r="287">
      <x:c r="A287" s="20"/>
      <x:c r="B287" s="20"/>
      <x:c r="C287" s="20"/>
      <x:c r="D287" s="20"/>
      <x:c r="E287" s="20"/>
      <x:c r="F287" s="20" t="str">
        <x:f>IF(OR(D287="",E287=""),"",IF(EXACT(D287,E287),"一致","差异"))</x:f>
      </x:c>
      <x:c r="G287" s="20"/>
      <x:c r="H287" s="20"/>
      <x:c r="I287" s="20"/>
      <x:c r="J287" s="20"/>
      <x:c r="K287" s="20"/>
      <x:c r="L287" s="20"/>
      <x:c r="M287" s="20"/>
      <x:c r="N287" s="20"/>
    </x:row>
    <x:row r="288">
      <x:c r="A288" s="20"/>
      <x:c r="B288" s="20"/>
      <x:c r="C288" s="20"/>
      <x:c r="D288" s="20"/>
      <x:c r="E288" s="20"/>
      <x:c r="F288" s="20" t="str">
        <x:f>IF(OR(D288="",E288=""),"",IF(EXACT(D288,E288),"一致","差异"))</x:f>
      </x:c>
      <x:c r="G288" s="20"/>
      <x:c r="H288" s="20"/>
      <x:c r="I288" s="20"/>
      <x:c r="J288" s="20"/>
      <x:c r="K288" s="20"/>
      <x:c r="L288" s="20"/>
      <x:c r="M288" s="20"/>
      <x:c r="N288" s="20"/>
    </x:row>
    <x:row r="289">
      <x:c r="A289" s="20"/>
      <x:c r="B289" s="20"/>
      <x:c r="C289" s="20"/>
      <x:c r="D289" s="20"/>
      <x:c r="E289" s="20"/>
      <x:c r="F289" s="20" t="str">
        <x:f>IF(OR(D289="",E289=""),"",IF(EXACT(D289,E289),"一致","差异"))</x:f>
      </x:c>
      <x:c r="G289" s="20"/>
      <x:c r="H289" s="20"/>
      <x:c r="I289" s="20"/>
      <x:c r="J289" s="20"/>
      <x:c r="K289" s="20"/>
      <x:c r="L289" s="20"/>
      <x:c r="M289" s="20"/>
      <x:c r="N289" s="20"/>
    </x:row>
    <x:row r="290">
      <x:c r="A290" s="20"/>
      <x:c r="B290" s="20"/>
      <x:c r="C290" s="20"/>
      <x:c r="D290" s="20"/>
      <x:c r="E290" s="20"/>
      <x:c r="F290" s="20" t="str">
        <x:f>IF(OR(D290="",E290=""),"",IF(EXACT(D290,E290),"一致","差异"))</x:f>
      </x:c>
      <x:c r="G290" s="20"/>
      <x:c r="H290" s="20"/>
      <x:c r="I290" s="20"/>
      <x:c r="J290" s="20"/>
      <x:c r="K290" s="20"/>
      <x:c r="L290" s="20"/>
      <x:c r="M290" s="20"/>
      <x:c r="N290" s="20"/>
    </x:row>
    <x:row r="291">
      <x:c r="A291" s="20"/>
      <x:c r="B291" s="20"/>
      <x:c r="C291" s="20"/>
      <x:c r="D291" s="20"/>
      <x:c r="E291" s="20"/>
      <x:c r="F291" s="20" t="str">
        <x:f>IF(OR(D291="",E291=""),"",IF(EXACT(D291,E291),"一致","差异"))</x:f>
      </x:c>
      <x:c r="G291" s="20"/>
      <x:c r="H291" s="20"/>
      <x:c r="I291" s="20"/>
      <x:c r="J291" s="20"/>
      <x:c r="K291" s="20"/>
      <x:c r="L291" s="20"/>
      <x:c r="M291" s="20"/>
      <x:c r="N291" s="20"/>
    </x:row>
    <x:row r="292">
      <x:c r="A292" s="20"/>
      <x:c r="B292" s="20"/>
      <x:c r="C292" s="20"/>
      <x:c r="D292" s="20"/>
      <x:c r="E292" s="20"/>
      <x:c r="F292" s="20" t="str">
        <x:f>IF(OR(D292="",E292=""),"",IF(EXACT(D292,E292),"一致","差异"))</x:f>
      </x:c>
      <x:c r="G292" s="20"/>
      <x:c r="H292" s="20"/>
      <x:c r="I292" s="20"/>
      <x:c r="J292" s="20"/>
      <x:c r="K292" s="20"/>
      <x:c r="L292" s="20"/>
      <x:c r="M292" s="20"/>
      <x:c r="N292" s="20"/>
    </x:row>
    <x:row r="293">
      <x:c r="A293" s="20"/>
      <x:c r="B293" s="20"/>
      <x:c r="C293" s="20"/>
      <x:c r="D293" s="20"/>
      <x:c r="E293" s="20"/>
      <x:c r="F293" s="20" t="str">
        <x:f>IF(OR(D293="",E293=""),"",IF(EXACT(D293,E293),"一致","差异"))</x:f>
      </x:c>
      <x:c r="G293" s="20"/>
      <x:c r="H293" s="20"/>
      <x:c r="I293" s="20"/>
      <x:c r="J293" s="20"/>
      <x:c r="K293" s="20"/>
      <x:c r="L293" s="20"/>
      <x:c r="M293" s="20"/>
      <x:c r="N293" s="20"/>
    </x:row>
    <x:row r="294">
      <x:c r="A294" s="20"/>
      <x:c r="B294" s="20"/>
      <x:c r="C294" s="20"/>
      <x:c r="D294" s="20"/>
      <x:c r="E294" s="20"/>
      <x:c r="F294" s="20" t="str">
        <x:f>IF(OR(D294="",E294=""),"",IF(EXACT(D294,E294),"一致","差异"))</x:f>
      </x:c>
      <x:c r="G294" s="20"/>
      <x:c r="H294" s="20"/>
      <x:c r="I294" s="20"/>
      <x:c r="J294" s="20"/>
      <x:c r="K294" s="20"/>
      <x:c r="L294" s="20"/>
      <x:c r="M294" s="20"/>
      <x:c r="N294" s="20"/>
    </x:row>
    <x:row r="295">
      <x:c r="A295" s="20"/>
      <x:c r="B295" s="20"/>
      <x:c r="C295" s="20"/>
      <x:c r="D295" s="20"/>
      <x:c r="E295" s="20"/>
      <x:c r="F295" s="20" t="str">
        <x:f>IF(OR(D295="",E295=""),"",IF(EXACT(D295,E295),"一致","差异"))</x:f>
      </x:c>
      <x:c r="G295" s="20"/>
      <x:c r="H295" s="20"/>
      <x:c r="I295" s="20"/>
      <x:c r="J295" s="20"/>
      <x:c r="K295" s="20"/>
      <x:c r="L295" s="20"/>
      <x:c r="M295" s="20"/>
      <x:c r="N295" s="20"/>
    </x:row>
    <x:row r="296">
      <x:c r="A296" s="20"/>
      <x:c r="B296" s="20"/>
      <x:c r="C296" s="20"/>
      <x:c r="D296" s="20"/>
      <x:c r="E296" s="20"/>
      <x:c r="F296" s="20" t="str">
        <x:f>IF(OR(D296="",E296=""),"",IF(EXACT(D296,E296),"一致","差异"))</x:f>
      </x:c>
      <x:c r="G296" s="20"/>
      <x:c r="H296" s="20"/>
      <x:c r="I296" s="20"/>
      <x:c r="J296" s="20"/>
      <x:c r="K296" s="20"/>
      <x:c r="L296" s="20"/>
      <x:c r="M296" s="20"/>
      <x:c r="N296" s="20"/>
    </x:row>
    <x:row r="297">
      <x:c r="A297" s="20"/>
      <x:c r="B297" s="20"/>
      <x:c r="C297" s="20"/>
      <x:c r="D297" s="20"/>
      <x:c r="E297" s="20"/>
      <x:c r="F297" s="20" t="str">
        <x:f>IF(OR(D297="",E297=""),"",IF(EXACT(D297,E297),"一致","差异"))</x:f>
      </x:c>
      <x:c r="G297" s="20"/>
      <x:c r="H297" s="20"/>
      <x:c r="I297" s="20"/>
      <x:c r="J297" s="20"/>
      <x:c r="K297" s="20"/>
      <x:c r="L297" s="20"/>
      <x:c r="M297" s="20"/>
      <x:c r="N297" s="20"/>
    </x:row>
    <x:row r="298">
      <x:c r="A298" s="20"/>
      <x:c r="B298" s="20"/>
      <x:c r="C298" s="20"/>
      <x:c r="D298" s="20"/>
      <x:c r="E298" s="20"/>
      <x:c r="F298" s="20" t="str">
        <x:f>IF(OR(D298="",E298=""),"",IF(EXACT(D298,E298),"一致","差异"))</x:f>
      </x:c>
      <x:c r="G298" s="20"/>
      <x:c r="H298" s="20"/>
      <x:c r="I298" s="20"/>
      <x:c r="J298" s="20"/>
      <x:c r="K298" s="20"/>
      <x:c r="L298" s="20"/>
      <x:c r="M298" s="20"/>
      <x:c r="N298" s="20"/>
    </x:row>
    <x:row r="299">
      <x:c r="A299" s="20"/>
      <x:c r="B299" s="20"/>
      <x:c r="C299" s="20"/>
      <x:c r="D299" s="20"/>
      <x:c r="E299" s="20"/>
      <x:c r="F299" s="20" t="str">
        <x:f>IF(OR(D299="",E299=""),"",IF(EXACT(D299,E299),"一致","差异"))</x:f>
      </x:c>
      <x:c r="G299" s="20"/>
      <x:c r="H299" s="20"/>
      <x:c r="I299" s="20"/>
      <x:c r="J299" s="20"/>
      <x:c r="K299" s="20"/>
      <x:c r="L299" s="20"/>
      <x:c r="M299" s="20"/>
      <x:c r="N299" s="20"/>
    </x:row>
    <x:row r="300">
      <x:c r="A300" s="20"/>
      <x:c r="B300" s="20"/>
      <x:c r="C300" s="20"/>
      <x:c r="D300" s="20"/>
      <x:c r="E300" s="20"/>
      <x:c r="F300" s="20" t="str">
        <x:f>IF(OR(D300="",E300=""),"",IF(EXACT(D300,E300),"一致","差异"))</x:f>
      </x:c>
      <x:c r="G300" s="20"/>
      <x:c r="H300" s="20"/>
      <x:c r="I300" s="20"/>
      <x:c r="J300" s="20"/>
      <x:c r="K300" s="20"/>
      <x:c r="L300" s="20"/>
      <x:c r="M300" s="20"/>
      <x:c r="N300" s="20"/>
    </x:row>
    <x:row r="301">
      <x:c r="A301" s="20"/>
      <x:c r="B301" s="20"/>
      <x:c r="C301" s="20"/>
      <x:c r="D301" s="20"/>
      <x:c r="E301" s="20"/>
      <x:c r="F301" s="20" t="str">
        <x:f>IF(OR(D301="",E301=""),"",IF(EXACT(D301,E301),"一致","差异"))</x:f>
      </x:c>
      <x:c r="G301" s="20"/>
      <x:c r="H301" s="20"/>
      <x:c r="I301" s="20"/>
      <x:c r="J301" s="20"/>
      <x:c r="K301" s="20"/>
      <x:c r="L301" s="20"/>
      <x:c r="M301" s="20"/>
      <x:c r="N301" s="20"/>
    </x:row>
    <x:row r="302">
      <x:c r="A302" s="20"/>
      <x:c r="B302" s="20"/>
      <x:c r="C302" s="20"/>
      <x:c r="D302" s="20"/>
      <x:c r="E302" s="20"/>
      <x:c r="F302" s="20" t="str">
        <x:f>IF(OR(D302="",E302=""),"",IF(EXACT(D302,E302),"一致","差异"))</x:f>
      </x:c>
      <x:c r="G302" s="20"/>
      <x:c r="H302" s="20"/>
      <x:c r="I302" s="20"/>
      <x:c r="J302" s="20"/>
      <x:c r="K302" s="20"/>
      <x:c r="L302" s="20"/>
      <x:c r="M302" s="20"/>
      <x:c r="N302" s="20"/>
    </x:row>
    <x:row r="303">
      <x:c r="A303" s="20"/>
      <x:c r="B303" s="20"/>
      <x:c r="C303" s="20"/>
      <x:c r="D303" s="20"/>
      <x:c r="E303" s="20"/>
      <x:c r="F303" s="20" t="str">
        <x:f>IF(OR(D303="",E303=""),"",IF(EXACT(D303,E303),"一致","差异"))</x:f>
      </x:c>
      <x:c r="G303" s="20"/>
      <x:c r="H303" s="20"/>
      <x:c r="I303" s="20"/>
      <x:c r="J303" s="20"/>
      <x:c r="K303" s="20"/>
      <x:c r="L303" s="20"/>
      <x:c r="M303" s="20"/>
      <x:c r="N303" s="20"/>
    </x:row>
    <x:row r="304">
      <x:c r="A304" s="20"/>
      <x:c r="B304" s="20"/>
      <x:c r="C304" s="20"/>
      <x:c r="D304" s="20"/>
      <x:c r="E304" s="20"/>
      <x:c r="F304" s="20" t="str">
        <x:f>IF(OR(D304="",E304=""),"",IF(EXACT(D304,E304),"一致","差异"))</x:f>
      </x:c>
      <x:c r="G304" s="20"/>
      <x:c r="H304" s="20"/>
      <x:c r="I304" s="20"/>
      <x:c r="J304" s="20"/>
      <x:c r="K304" s="20"/>
      <x:c r="L304" s="20"/>
      <x:c r="M304" s="20"/>
      <x:c r="N304" s="20"/>
    </x:row>
    <x:row r="305">
      <x:c r="A305" s="20"/>
      <x:c r="B305" s="20"/>
      <x:c r="C305" s="20"/>
      <x:c r="D305" s="20"/>
      <x:c r="E305" s="20"/>
      <x:c r="F305" s="20" t="str">
        <x:f>IF(OR(D305="",E305=""),"",IF(EXACT(D305,E305),"一致","差异"))</x:f>
      </x:c>
      <x:c r="G305" s="20"/>
      <x:c r="H305" s="20"/>
      <x:c r="I305" s="20"/>
      <x:c r="J305" s="20"/>
      <x:c r="K305" s="20"/>
      <x:c r="L305" s="20"/>
      <x:c r="M305" s="20"/>
      <x:c r="N305" s="20"/>
    </x:row>
    <x:row r="306">
      <x:c r="A306" s="20"/>
      <x:c r="B306" s="20"/>
      <x:c r="C306" s="20"/>
      <x:c r="D306" s="20"/>
      <x:c r="E306" s="20"/>
      <x:c r="F306" s="20" t="str">
        <x:f>IF(OR(D306="",E306=""),"",IF(EXACT(D306,E306),"一致","差异"))</x:f>
      </x:c>
      <x:c r="G306" s="20"/>
      <x:c r="H306" s="20"/>
      <x:c r="I306" s="20"/>
      <x:c r="J306" s="20"/>
      <x:c r="K306" s="20"/>
      <x:c r="L306" s="20"/>
      <x:c r="M306" s="20"/>
      <x:c r="N306" s="20"/>
    </x:row>
    <x:row r="307">
      <x:c r="A307" s="20"/>
      <x:c r="B307" s="20"/>
      <x:c r="C307" s="20"/>
      <x:c r="D307" s="20"/>
      <x:c r="E307" s="20"/>
      <x:c r="F307" s="20" t="str">
        <x:f>IF(OR(D307="",E307=""),"",IF(EXACT(D307,E307),"一致","差异"))</x:f>
      </x:c>
      <x:c r="G307" s="20"/>
      <x:c r="H307" s="20"/>
      <x:c r="I307" s="20"/>
      <x:c r="J307" s="20"/>
      <x:c r="K307" s="20"/>
      <x:c r="L307" s="20"/>
      <x:c r="M307" s="20"/>
      <x:c r="N307" s="20"/>
    </x:row>
    <x:row r="308">
      <x:c r="A308" s="20"/>
      <x:c r="B308" s="20"/>
      <x:c r="C308" s="20"/>
      <x:c r="D308" s="20"/>
      <x:c r="E308" s="20"/>
      <x:c r="F308" s="20" t="str">
        <x:f>IF(OR(D308="",E308=""),"",IF(EXACT(D308,E308),"一致","差异"))</x:f>
      </x:c>
      <x:c r="G308" s="20"/>
      <x:c r="H308" s="20"/>
      <x:c r="I308" s="20"/>
      <x:c r="J308" s="20"/>
      <x:c r="K308" s="20"/>
      <x:c r="L308" s="20"/>
      <x:c r="M308" s="20"/>
      <x:c r="N308" s="20"/>
    </x:row>
    <x:row r="309">
      <x:c r="A309" s="20"/>
      <x:c r="B309" s="20"/>
      <x:c r="C309" s="20"/>
      <x:c r="D309" s="20"/>
      <x:c r="E309" s="20"/>
      <x:c r="F309" s="20" t="str">
        <x:f>IF(OR(D309="",E309=""),"",IF(EXACT(D309,E309),"一致","差异"))</x:f>
      </x:c>
      <x:c r="G309" s="20"/>
      <x:c r="H309" s="20"/>
      <x:c r="I309" s="20"/>
      <x:c r="J309" s="20"/>
      <x:c r="K309" s="20"/>
      <x:c r="L309" s="20"/>
      <x:c r="M309" s="20"/>
      <x:c r="N309" s="20"/>
    </x:row>
    <x:row r="310">
      <x:c r="A310" s="20"/>
      <x:c r="B310" s="20"/>
      <x:c r="C310" s="20"/>
      <x:c r="D310" s="20"/>
      <x:c r="E310" s="20"/>
      <x:c r="F310" s="20" t="str">
        <x:f>IF(OR(D310="",E310=""),"",IF(EXACT(D310,E310),"一致","差异"))</x:f>
      </x:c>
      <x:c r="G310" s="20"/>
      <x:c r="H310" s="20"/>
      <x:c r="I310" s="20"/>
      <x:c r="J310" s="20"/>
      <x:c r="K310" s="20"/>
      <x:c r="L310" s="20"/>
      <x:c r="M310" s="20"/>
      <x:c r="N310" s="20"/>
    </x:row>
    <x:row r="311">
      <x:c r="A311" s="20"/>
      <x:c r="B311" s="20"/>
      <x:c r="C311" s="20"/>
      <x:c r="D311" s="20"/>
      <x:c r="E311" s="20"/>
      <x:c r="F311" s="20" t="str">
        <x:f>IF(OR(D311="",E311=""),"",IF(EXACT(D311,E311),"一致","差异"))</x:f>
      </x:c>
      <x:c r="G311" s="20"/>
      <x:c r="H311" s="20"/>
      <x:c r="I311" s="20"/>
      <x:c r="J311" s="20"/>
      <x:c r="K311" s="20"/>
      <x:c r="L311" s="20"/>
      <x:c r="M311" s="20"/>
      <x:c r="N311" s="20"/>
    </x:row>
    <x:row r="312">
      <x:c r="A312" s="20"/>
      <x:c r="B312" s="20"/>
      <x:c r="C312" s="20"/>
      <x:c r="D312" s="20"/>
      <x:c r="E312" s="20"/>
      <x:c r="F312" s="20" t="str">
        <x:f>IF(OR(D312="",E312=""),"",IF(EXACT(D312,E312),"一致","差异"))</x:f>
      </x:c>
      <x:c r="G312" s="20"/>
      <x:c r="H312" s="20"/>
      <x:c r="I312" s="20"/>
      <x:c r="J312" s="20"/>
      <x:c r="K312" s="20"/>
      <x:c r="L312" s="20"/>
      <x:c r="M312" s="20"/>
      <x:c r="N312" s="20"/>
    </x:row>
    <x:row r="313">
      <x:c r="A313" s="20"/>
      <x:c r="B313" s="20"/>
      <x:c r="C313" s="20"/>
      <x:c r="D313" s="20"/>
      <x:c r="E313" s="20"/>
      <x:c r="F313" s="20" t="str">
        <x:f>IF(OR(D313="",E313=""),"",IF(EXACT(D313,E313),"一致","差异"))</x:f>
      </x:c>
      <x:c r="G313" s="20"/>
      <x:c r="H313" s="20"/>
      <x:c r="I313" s="20"/>
      <x:c r="J313" s="20"/>
      <x:c r="K313" s="20"/>
      <x:c r="L313" s="20"/>
      <x:c r="M313" s="20"/>
      <x:c r="N313" s="20"/>
    </x:row>
    <x:row r="314">
      <x:c r="A314" s="20"/>
      <x:c r="B314" s="20"/>
      <x:c r="C314" s="20"/>
      <x:c r="D314" s="20"/>
      <x:c r="E314" s="20"/>
      <x:c r="F314" s="20" t="str">
        <x:f>IF(OR(D314="",E314=""),"",IF(EXACT(D314,E314),"一致","差异"))</x:f>
      </x:c>
      <x:c r="G314" s="20"/>
      <x:c r="H314" s="20"/>
      <x:c r="I314" s="20"/>
      <x:c r="J314" s="20"/>
      <x:c r="K314" s="20"/>
      <x:c r="L314" s="20"/>
      <x:c r="M314" s="20"/>
      <x:c r="N314" s="20"/>
    </x:row>
    <x:row r="315">
      <x:c r="A315" s="20"/>
      <x:c r="B315" s="20"/>
      <x:c r="C315" s="20"/>
      <x:c r="D315" s="20"/>
      <x:c r="E315" s="20"/>
      <x:c r="F315" s="20" t="str">
        <x:f>IF(OR(D315="",E315=""),"",IF(EXACT(D315,E315),"一致","差异"))</x:f>
      </x:c>
      <x:c r="G315" s="20"/>
      <x:c r="H315" s="20"/>
      <x:c r="I315" s="20"/>
      <x:c r="J315" s="20"/>
      <x:c r="K315" s="20"/>
      <x:c r="L315" s="20"/>
      <x:c r="M315" s="20"/>
      <x:c r="N315" s="20"/>
    </x:row>
    <x:row r="316">
      <x:c r="A316" s="20"/>
      <x:c r="B316" s="20"/>
      <x:c r="C316" s="20"/>
      <x:c r="D316" s="20"/>
      <x:c r="E316" s="20"/>
      <x:c r="F316" s="20" t="str">
        <x:f>IF(OR(D316="",E316=""),"",IF(EXACT(D316,E316),"一致","差异"))</x:f>
      </x:c>
      <x:c r="G316" s="20"/>
      <x:c r="H316" s="20"/>
      <x:c r="I316" s="20"/>
      <x:c r="J316" s="20"/>
      <x:c r="K316" s="20"/>
      <x:c r="L316" s="20"/>
      <x:c r="M316" s="20"/>
      <x:c r="N316" s="20"/>
    </x:row>
    <x:row r="317">
      <x:c r="A317" s="20"/>
      <x:c r="B317" s="20"/>
      <x:c r="C317" s="20"/>
      <x:c r="D317" s="20"/>
      <x:c r="E317" s="20"/>
      <x:c r="F317" s="20" t="str">
        <x:f>IF(OR(D317="",E317=""),"",IF(EXACT(D317,E317),"一致","差异"))</x:f>
      </x:c>
      <x:c r="G317" s="20"/>
      <x:c r="H317" s="20"/>
      <x:c r="I317" s="20"/>
      <x:c r="J317" s="20"/>
      <x:c r="K317" s="20"/>
      <x:c r="L317" s="20"/>
      <x:c r="M317" s="20"/>
      <x:c r="N317" s="20"/>
    </x:row>
    <x:row r="318">
      <x:c r="A318" s="20"/>
      <x:c r="B318" s="20"/>
      <x:c r="C318" s="20"/>
      <x:c r="D318" s="20"/>
      <x:c r="E318" s="20"/>
      <x:c r="F318" s="20" t="str">
        <x:f>IF(OR(D318="",E318=""),"",IF(EXACT(D318,E318),"一致","差异"))</x:f>
      </x:c>
      <x:c r="G318" s="20"/>
      <x:c r="H318" s="20"/>
      <x:c r="I318" s="20"/>
      <x:c r="J318" s="20"/>
      <x:c r="K318" s="20"/>
      <x:c r="L318" s="20"/>
      <x:c r="M318" s="20"/>
      <x:c r="N318" s="20"/>
    </x:row>
    <x:row r="319">
      <x:c r="A319" s="20"/>
      <x:c r="B319" s="20"/>
      <x:c r="C319" s="20"/>
      <x:c r="D319" s="20"/>
      <x:c r="E319" s="20"/>
      <x:c r="F319" s="20" t="str">
        <x:f>IF(OR(D319="",E319=""),"",IF(EXACT(D319,E319),"一致","差异"))</x:f>
      </x:c>
      <x:c r="G319" s="20"/>
      <x:c r="H319" s="20"/>
      <x:c r="I319" s="20"/>
      <x:c r="J319" s="20"/>
      <x:c r="K319" s="20"/>
      <x:c r="L319" s="20"/>
      <x:c r="M319" s="20"/>
      <x:c r="N319" s="20"/>
    </x:row>
    <x:row r="320">
      <x:c r="A320" s="20"/>
      <x:c r="B320" s="20"/>
      <x:c r="C320" s="20"/>
      <x:c r="D320" s="20"/>
      <x:c r="E320" s="20"/>
      <x:c r="F320" s="20" t="str">
        <x:f>IF(OR(D320="",E320=""),"",IF(EXACT(D320,E320),"一致","差异"))</x:f>
      </x:c>
      <x:c r="G320" s="20"/>
      <x:c r="H320" s="20"/>
      <x:c r="I320" s="20"/>
      <x:c r="J320" s="20"/>
      <x:c r="K320" s="20"/>
      <x:c r="L320" s="20"/>
      <x:c r="M320" s="20"/>
      <x:c r="N320" s="20"/>
    </x:row>
    <x:row r="321">
      <x:c r="A321" s="20"/>
      <x:c r="B321" s="20"/>
      <x:c r="C321" s="20"/>
      <x:c r="D321" s="20"/>
      <x:c r="E321" s="20"/>
      <x:c r="F321" s="20" t="str">
        <x:f>IF(OR(D321="",E321=""),"",IF(EXACT(D321,E321),"一致","差异"))</x:f>
      </x:c>
      <x:c r="G321" s="20"/>
      <x:c r="H321" s="20"/>
      <x:c r="I321" s="20"/>
      <x:c r="J321" s="20"/>
      <x:c r="K321" s="20"/>
      <x:c r="L321" s="20"/>
      <x:c r="M321" s="20"/>
      <x:c r="N321" s="20"/>
    </x:row>
    <x:row r="322">
      <x:c r="A322" s="20"/>
      <x:c r="B322" s="20"/>
      <x:c r="C322" s="20"/>
      <x:c r="D322" s="20"/>
      <x:c r="E322" s="20"/>
      <x:c r="F322" s="20" t="str">
        <x:f>IF(OR(D322="",E322=""),"",IF(EXACT(D322,E322),"一致","差异"))</x:f>
      </x:c>
      <x:c r="G322" s="20"/>
      <x:c r="H322" s="20"/>
      <x:c r="I322" s="20"/>
      <x:c r="J322" s="20"/>
      <x:c r="K322" s="20"/>
      <x:c r="L322" s="20"/>
      <x:c r="M322" s="20"/>
      <x:c r="N322" s="20"/>
    </x:row>
    <x:row r="323">
      <x:c r="A323" s="20"/>
      <x:c r="B323" s="20"/>
      <x:c r="C323" s="20"/>
      <x:c r="D323" s="20"/>
      <x:c r="E323" s="20"/>
      <x:c r="F323" s="20" t="str">
        <x:f>IF(OR(D323="",E323=""),"",IF(EXACT(D323,E323),"一致","差异"))</x:f>
      </x:c>
      <x:c r="G323" s="20"/>
      <x:c r="H323" s="20"/>
      <x:c r="I323" s="20"/>
      <x:c r="J323" s="20"/>
      <x:c r="K323" s="20"/>
      <x:c r="L323" s="20"/>
      <x:c r="M323" s="20"/>
      <x:c r="N323" s="20"/>
    </x:row>
    <x:row r="324">
      <x:c r="A324" s="20"/>
      <x:c r="B324" s="20"/>
      <x:c r="C324" s="20"/>
      <x:c r="D324" s="20"/>
      <x:c r="E324" s="20"/>
      <x:c r="F324" s="20" t="str">
        <x:f>IF(OR(D324="",E324=""),"",IF(EXACT(D324,E324),"一致","差异"))</x:f>
      </x:c>
      <x:c r="G324" s="20"/>
      <x:c r="H324" s="20"/>
      <x:c r="I324" s="20"/>
      <x:c r="J324" s="20"/>
      <x:c r="K324" s="20"/>
      <x:c r="L324" s="20"/>
      <x:c r="M324" s="20"/>
      <x:c r="N324" s="20"/>
    </x:row>
    <x:row r="325">
      <x:c r="A325" s="20"/>
      <x:c r="B325" s="20"/>
      <x:c r="C325" s="20"/>
      <x:c r="D325" s="20"/>
      <x:c r="E325" s="20"/>
      <x:c r="F325" s="20" t="str">
        <x:f>IF(OR(D325="",E325=""),"",IF(EXACT(D325,E325),"一致","差异"))</x:f>
      </x:c>
      <x:c r="G325" s="20"/>
      <x:c r="H325" s="20"/>
      <x:c r="I325" s="20"/>
      <x:c r="J325" s="20"/>
      <x:c r="K325" s="20"/>
      <x:c r="L325" s="20"/>
      <x:c r="M325" s="20"/>
      <x:c r="N325" s="20"/>
    </x:row>
    <x:row r="326">
      <x:c r="A326" s="20"/>
      <x:c r="B326" s="20"/>
      <x:c r="C326" s="20"/>
      <x:c r="D326" s="20"/>
      <x:c r="E326" s="20"/>
      <x:c r="F326" s="20" t="str">
        <x:f>IF(OR(D326="",E326=""),"",IF(EXACT(D326,E326),"一致","差异"))</x:f>
      </x:c>
      <x:c r="G326" s="20"/>
      <x:c r="H326" s="20"/>
      <x:c r="I326" s="20"/>
      <x:c r="J326" s="20"/>
      <x:c r="K326" s="20"/>
      <x:c r="L326" s="20"/>
      <x:c r="M326" s="20"/>
      <x:c r="N326" s="20"/>
    </x:row>
    <x:row r="327">
      <x:c r="A327" s="20"/>
      <x:c r="B327" s="20"/>
      <x:c r="C327" s="20"/>
      <x:c r="D327" s="20"/>
      <x:c r="E327" s="20"/>
      <x:c r="F327" s="20" t="str">
        <x:f>IF(OR(D327="",E327=""),"",IF(EXACT(D327,E327),"一致","差异"))</x:f>
      </x:c>
      <x:c r="G327" s="20"/>
      <x:c r="H327" s="20"/>
      <x:c r="I327" s="20"/>
      <x:c r="J327" s="20"/>
      <x:c r="K327" s="20"/>
      <x:c r="L327" s="20"/>
      <x:c r="M327" s="20"/>
      <x:c r="N327" s="20"/>
    </x:row>
    <x:row r="328">
      <x:c r="A328" s="20"/>
      <x:c r="B328" s="20"/>
      <x:c r="C328" s="20"/>
      <x:c r="D328" s="20"/>
      <x:c r="E328" s="20"/>
      <x:c r="F328" s="20" t="str">
        <x:f>IF(OR(D328="",E328=""),"",IF(EXACT(D328,E328),"一致","差异"))</x:f>
      </x:c>
      <x:c r="G328" s="20"/>
      <x:c r="H328" s="20"/>
      <x:c r="I328" s="20"/>
      <x:c r="J328" s="20"/>
      <x:c r="K328" s="20"/>
      <x:c r="L328" s="20"/>
      <x:c r="M328" s="20"/>
      <x:c r="N328" s="20"/>
    </x:row>
    <x:row r="329">
      <x:c r="A329" s="20"/>
      <x:c r="B329" s="20"/>
      <x:c r="C329" s="20"/>
      <x:c r="D329" s="20"/>
      <x:c r="E329" s="20"/>
      <x:c r="F329" s="20" t="str">
        <x:f>IF(OR(D329="",E329=""),"",IF(EXACT(D329,E329),"一致","差异"))</x:f>
      </x:c>
      <x:c r="G329" s="20"/>
      <x:c r="H329" s="20"/>
      <x:c r="I329" s="20"/>
      <x:c r="J329" s="20"/>
      <x:c r="K329" s="20"/>
      <x:c r="L329" s="20"/>
      <x:c r="M329" s="20"/>
      <x:c r="N329" s="20"/>
    </x:row>
    <x:row r="330">
      <x:c r="A330" s="20"/>
      <x:c r="B330" s="20"/>
      <x:c r="C330" s="20"/>
      <x:c r="D330" s="20"/>
      <x:c r="E330" s="20"/>
      <x:c r="F330" s="20" t="str">
        <x:f>IF(OR(D330="",E330=""),"",IF(EXACT(D330,E330),"一致","差异"))</x:f>
      </x:c>
      <x:c r="G330" s="20"/>
      <x:c r="H330" s="20"/>
      <x:c r="I330" s="20"/>
      <x:c r="J330" s="20"/>
      <x:c r="K330" s="20"/>
      <x:c r="L330" s="20"/>
      <x:c r="M330" s="20"/>
      <x:c r="N330" s="20"/>
    </x:row>
    <x:row r="331">
      <x:c r="A331" s="20"/>
      <x:c r="B331" s="20"/>
      <x:c r="C331" s="20"/>
      <x:c r="D331" s="20"/>
      <x:c r="E331" s="20"/>
      <x:c r="F331" s="20" t="str">
        <x:f>IF(OR(D331="",E331=""),"",IF(EXACT(D331,E331),"一致","差异"))</x:f>
      </x:c>
      <x:c r="G331" s="20"/>
      <x:c r="H331" s="20"/>
      <x:c r="I331" s="20"/>
      <x:c r="J331" s="20"/>
      <x:c r="K331" s="20"/>
      <x:c r="L331" s="20"/>
      <x:c r="M331" s="20"/>
      <x:c r="N331" s="20"/>
    </x:row>
    <x:row r="332">
      <x:c r="A332" s="20"/>
      <x:c r="B332" s="20"/>
      <x:c r="C332" s="20"/>
      <x:c r="D332" s="20"/>
      <x:c r="E332" s="20"/>
      <x:c r="F332" s="20" t="str">
        <x:f>IF(OR(D332="",E332=""),"",IF(EXACT(D332,E332),"一致","差异"))</x:f>
      </x:c>
      <x:c r="G332" s="20"/>
      <x:c r="H332" s="20"/>
      <x:c r="I332" s="20"/>
      <x:c r="J332" s="20"/>
      <x:c r="K332" s="20"/>
      <x:c r="L332" s="20"/>
      <x:c r="M332" s="20"/>
      <x:c r="N332" s="20"/>
    </x:row>
    <x:row r="333">
      <x:c r="A333" s="20"/>
      <x:c r="B333" s="20"/>
      <x:c r="C333" s="20"/>
      <x:c r="D333" s="20"/>
      <x:c r="E333" s="20"/>
      <x:c r="F333" s="20" t="str">
        <x:f>IF(OR(D333="",E333=""),"",IF(EXACT(D333,E333),"一致","差异"))</x:f>
      </x:c>
      <x:c r="G333" s="20"/>
      <x:c r="H333" s="20"/>
      <x:c r="I333" s="20"/>
      <x:c r="J333" s="20"/>
      <x:c r="K333" s="20"/>
      <x:c r="L333" s="20"/>
      <x:c r="M333" s="20"/>
      <x:c r="N333" s="20"/>
    </x:row>
    <x:row r="334">
      <x:c r="A334" s="20"/>
      <x:c r="B334" s="20"/>
      <x:c r="C334" s="20"/>
      <x:c r="D334" s="20"/>
      <x:c r="E334" s="20"/>
      <x:c r="F334" s="20" t="str">
        <x:f>IF(OR(D334="",E334=""),"",IF(EXACT(D334,E334),"一致","差异"))</x:f>
      </x:c>
      <x:c r="G334" s="20"/>
      <x:c r="H334" s="20"/>
      <x:c r="I334" s="20"/>
      <x:c r="J334" s="20"/>
      <x:c r="K334" s="20"/>
      <x:c r="L334" s="20"/>
      <x:c r="M334" s="20"/>
      <x:c r="N334" s="20"/>
    </x:row>
    <x:row r="335">
      <x:c r="A335" s="20"/>
      <x:c r="B335" s="20"/>
      <x:c r="C335" s="20"/>
      <x:c r="D335" s="20"/>
      <x:c r="E335" s="20"/>
      <x:c r="F335" s="20" t="str">
        <x:f>IF(OR(D335="",E335=""),"",IF(EXACT(D335,E335),"一致","差异"))</x:f>
      </x:c>
      <x:c r="G335" s="20"/>
      <x:c r="H335" s="20"/>
      <x:c r="I335" s="20"/>
      <x:c r="J335" s="20"/>
      <x:c r="K335" s="20"/>
      <x:c r="L335" s="20"/>
      <x:c r="M335" s="20"/>
      <x:c r="N335" s="20"/>
    </x:row>
    <x:row r="336">
      <x:c r="A336" s="20"/>
      <x:c r="B336" s="20"/>
      <x:c r="C336" s="20"/>
      <x:c r="D336" s="20"/>
      <x:c r="E336" s="20"/>
      <x:c r="F336" s="20" t="str">
        <x:f>IF(OR(D336="",E336=""),"",IF(EXACT(D336,E336),"一致","差异"))</x:f>
      </x:c>
      <x:c r="G336" s="20"/>
      <x:c r="H336" s="20"/>
      <x:c r="I336" s="20"/>
      <x:c r="J336" s="20"/>
      <x:c r="K336" s="20"/>
      <x:c r="L336" s="20"/>
      <x:c r="M336" s="20"/>
      <x:c r="N336" s="20"/>
    </x:row>
    <x:row r="337">
      <x:c r="A337" s="20"/>
      <x:c r="B337" s="20"/>
      <x:c r="C337" s="20"/>
      <x:c r="D337" s="20"/>
      <x:c r="E337" s="20"/>
      <x:c r="F337" s="20" t="str">
        <x:f>IF(OR(D337="",E337=""),"",IF(EXACT(D337,E337),"一致","差异"))</x:f>
      </x:c>
      <x:c r="G337" s="20"/>
      <x:c r="H337" s="20"/>
      <x:c r="I337" s="20"/>
      <x:c r="J337" s="20"/>
      <x:c r="K337" s="20"/>
      <x:c r="L337" s="20"/>
      <x:c r="M337" s="20"/>
      <x:c r="N337" s="20"/>
    </x:row>
    <x:row r="338">
      <x:c r="A338" s="20"/>
      <x:c r="B338" s="20"/>
      <x:c r="C338" s="20"/>
      <x:c r="D338" s="20"/>
      <x:c r="E338" s="20"/>
      <x:c r="F338" s="20" t="str">
        <x:f>IF(OR(D338="",E338=""),"",IF(EXACT(D338,E338),"一致","差异"))</x:f>
      </x:c>
      <x:c r="G338" s="20"/>
      <x:c r="H338" s="20"/>
      <x:c r="I338" s="20"/>
      <x:c r="J338" s="20"/>
      <x:c r="K338" s="20"/>
      <x:c r="L338" s="20"/>
      <x:c r="M338" s="20"/>
      <x:c r="N338" s="20"/>
    </x:row>
    <x:row r="339">
      <x:c r="A339" s="20"/>
      <x:c r="B339" s="20"/>
      <x:c r="C339" s="20"/>
      <x:c r="D339" s="20"/>
      <x:c r="E339" s="20"/>
      <x:c r="F339" s="20" t="str">
        <x:f>IF(OR(D339="",E339=""),"",IF(EXACT(D339,E339),"一致","差异"))</x:f>
      </x:c>
      <x:c r="G339" s="20"/>
      <x:c r="H339" s="20"/>
      <x:c r="I339" s="20"/>
      <x:c r="J339" s="20"/>
      <x:c r="K339" s="20"/>
      <x:c r="L339" s="20"/>
      <x:c r="M339" s="20"/>
      <x:c r="N339" s="20"/>
    </x:row>
    <x:row r="340">
      <x:c r="A340" s="20"/>
      <x:c r="B340" s="20"/>
      <x:c r="C340" s="20"/>
      <x:c r="D340" s="20"/>
      <x:c r="E340" s="20"/>
      <x:c r="F340" s="20" t="str">
        <x:f>IF(OR(D340="",E340=""),"",IF(EXACT(D340,E340),"一致","差异"))</x:f>
      </x:c>
      <x:c r="G340" s="20"/>
      <x:c r="H340" s="20"/>
      <x:c r="I340" s="20"/>
      <x:c r="J340" s="20"/>
      <x:c r="K340" s="20"/>
      <x:c r="L340" s="20"/>
      <x:c r="M340" s="20"/>
      <x:c r="N340" s="20"/>
    </x:row>
    <x:row r="341">
      <x:c r="A341" s="20"/>
      <x:c r="B341" s="20"/>
      <x:c r="C341" s="20"/>
      <x:c r="D341" s="20"/>
      <x:c r="E341" s="20"/>
      <x:c r="F341" s="20" t="str">
        <x:f>IF(OR(D341="",E341=""),"",IF(EXACT(D341,E341),"一致","差异"))</x:f>
      </x:c>
      <x:c r="G341" s="20"/>
      <x:c r="H341" s="20"/>
      <x:c r="I341" s="20"/>
      <x:c r="J341" s="20"/>
      <x:c r="K341" s="20"/>
      <x:c r="L341" s="20"/>
      <x:c r="M341" s="20"/>
      <x:c r="N341" s="20"/>
    </x:row>
    <x:row r="342">
      <x:c r="A342" s="20"/>
      <x:c r="B342" s="20"/>
      <x:c r="C342" s="20"/>
      <x:c r="D342" s="20"/>
      <x:c r="E342" s="20"/>
      <x:c r="F342" s="20" t="str">
        <x:f>IF(OR(D342="",E342=""),"",IF(EXACT(D342,E342),"一致","差异"))</x:f>
      </x:c>
      <x:c r="G342" s="20"/>
      <x:c r="H342" s="20"/>
      <x:c r="I342" s="20"/>
      <x:c r="J342" s="20"/>
      <x:c r="K342" s="20"/>
      <x:c r="L342" s="20"/>
      <x:c r="M342" s="20"/>
      <x:c r="N342" s="20"/>
    </x:row>
    <x:row r="343">
      <x:c r="A343" s="20"/>
      <x:c r="B343" s="20"/>
      <x:c r="C343" s="20"/>
      <x:c r="D343" s="20"/>
      <x:c r="E343" s="20"/>
      <x:c r="F343" s="20" t="str">
        <x:f>IF(OR(D343="",E343=""),"",IF(EXACT(D343,E343),"一致","差异"))</x:f>
      </x:c>
      <x:c r="G343" s="20"/>
      <x:c r="H343" s="20"/>
      <x:c r="I343" s="20"/>
      <x:c r="J343" s="20"/>
      <x:c r="K343" s="20"/>
      <x:c r="L343" s="20"/>
      <x:c r="M343" s="20"/>
      <x:c r="N343" s="20"/>
    </x:row>
    <x:row r="344">
      <x:c r="A344" s="20"/>
      <x:c r="B344" s="20"/>
      <x:c r="C344" s="20"/>
      <x:c r="D344" s="20"/>
      <x:c r="E344" s="20"/>
      <x:c r="F344" s="20" t="str">
        <x:f>IF(OR(D344="",E344=""),"",IF(EXACT(D344,E344),"一致","差异"))</x:f>
      </x:c>
      <x:c r="G344" s="20"/>
      <x:c r="H344" s="20"/>
      <x:c r="I344" s="20"/>
      <x:c r="J344" s="20"/>
      <x:c r="K344" s="20"/>
      <x:c r="L344" s="20"/>
      <x:c r="M344" s="20"/>
      <x:c r="N344" s="20"/>
    </x:row>
    <x:row r="345">
      <x:c r="A345" s="20"/>
      <x:c r="B345" s="20"/>
      <x:c r="C345" s="20"/>
      <x:c r="D345" s="20"/>
      <x:c r="E345" s="20"/>
      <x:c r="F345" s="20" t="str">
        <x:f>IF(OR(D345="",E345=""),"",IF(EXACT(D345,E345),"一致","差异"))</x:f>
      </x:c>
      <x:c r="G345" s="20"/>
      <x:c r="H345" s="20"/>
      <x:c r="I345" s="20"/>
      <x:c r="J345" s="20"/>
      <x:c r="K345" s="20"/>
      <x:c r="L345" s="20"/>
      <x:c r="M345" s="20"/>
      <x:c r="N345" s="20"/>
    </x:row>
    <x:row r="346">
      <x:c r="A346" s="20"/>
      <x:c r="B346" s="20"/>
      <x:c r="C346" s="20"/>
      <x:c r="D346" s="20"/>
      <x:c r="E346" s="20"/>
      <x:c r="F346" s="20" t="str">
        <x:f>IF(OR(D346="",E346=""),"",IF(EXACT(D346,E346),"一致","差异"))</x:f>
      </x:c>
      <x:c r="G346" s="20"/>
      <x:c r="H346" s="20"/>
      <x:c r="I346" s="20"/>
      <x:c r="J346" s="20"/>
      <x:c r="K346" s="20"/>
      <x:c r="L346" s="20"/>
      <x:c r="M346" s="20"/>
      <x:c r="N346" s="20"/>
    </x:row>
    <x:row r="347">
      <x:c r="A347" s="20"/>
      <x:c r="B347" s="20"/>
      <x:c r="C347" s="20"/>
      <x:c r="D347" s="20"/>
      <x:c r="E347" s="20"/>
      <x:c r="F347" s="20" t="str">
        <x:f>IF(OR(D347="",E347=""),"",IF(EXACT(D347,E347),"一致","差异"))</x:f>
      </x:c>
      <x:c r="G347" s="20"/>
      <x:c r="H347" s="20"/>
      <x:c r="I347" s="20"/>
      <x:c r="J347" s="20"/>
      <x:c r="K347" s="20"/>
      <x:c r="L347" s="20"/>
      <x:c r="M347" s="20"/>
      <x:c r="N347" s="20"/>
    </x:row>
    <x:row r="348">
      <x:c r="A348" s="20"/>
      <x:c r="B348" s="20"/>
      <x:c r="C348" s="20"/>
      <x:c r="D348" s="20"/>
      <x:c r="E348" s="20"/>
      <x:c r="F348" s="20" t="str">
        <x:f>IF(OR(D348="",E348=""),"",IF(EXACT(D348,E348),"一致","差异"))</x:f>
      </x:c>
      <x:c r="G348" s="20"/>
      <x:c r="H348" s="20"/>
      <x:c r="I348" s="20"/>
      <x:c r="J348" s="20"/>
      <x:c r="K348" s="20"/>
      <x:c r="L348" s="20"/>
      <x:c r="M348" s="20"/>
      <x:c r="N348" s="20"/>
    </x:row>
    <x:row r="349">
      <x:c r="A349" s="20"/>
      <x:c r="B349" s="20"/>
      <x:c r="C349" s="20"/>
      <x:c r="D349" s="20"/>
      <x:c r="E349" s="20"/>
      <x:c r="F349" s="20" t="str">
        <x:f>IF(OR(D349="",E349=""),"",IF(EXACT(D349,E349),"一致","差异"))</x:f>
      </x:c>
      <x:c r="G349" s="20"/>
      <x:c r="H349" s="20"/>
      <x:c r="I349" s="20"/>
      <x:c r="J349" s="20"/>
      <x:c r="K349" s="20"/>
      <x:c r="L349" s="20"/>
      <x:c r="M349" s="20"/>
      <x:c r="N349" s="20"/>
    </x:row>
    <x:row r="350">
      <x:c r="A350" s="20"/>
      <x:c r="B350" s="20"/>
      <x:c r="C350" s="20"/>
      <x:c r="D350" s="20"/>
      <x:c r="E350" s="20"/>
      <x:c r="F350" s="20" t="str">
        <x:f>IF(OR(D350="",E350=""),"",IF(EXACT(D350,E350),"一致","差异"))</x:f>
      </x:c>
      <x:c r="G350" s="20"/>
      <x:c r="H350" s="20"/>
      <x:c r="I350" s="20"/>
      <x:c r="J350" s="20"/>
      <x:c r="K350" s="20"/>
      <x:c r="L350" s="20"/>
      <x:c r="M350" s="20"/>
      <x:c r="N350" s="20"/>
    </x:row>
    <x:row r="351">
      <x:c r="A351" s="20"/>
      <x:c r="B351" s="20"/>
      <x:c r="C351" s="20"/>
      <x:c r="D351" s="20"/>
      <x:c r="E351" s="20"/>
      <x:c r="F351" s="20" t="str">
        <x:f>IF(OR(D351="",E351=""),"",IF(EXACT(D351,E351),"一致","差异"))</x:f>
      </x:c>
      <x:c r="G351" s="20"/>
      <x:c r="H351" s="20"/>
      <x:c r="I351" s="20"/>
      <x:c r="J351" s="20"/>
      <x:c r="K351" s="20"/>
      <x:c r="L351" s="20"/>
      <x:c r="M351" s="20"/>
      <x:c r="N351" s="20"/>
    </x:row>
    <x:row r="352">
      <x:c r="A352" s="20"/>
      <x:c r="B352" s="20"/>
      <x:c r="C352" s="20"/>
      <x:c r="D352" s="20"/>
      <x:c r="E352" s="20"/>
      <x:c r="F352" s="20" t="str">
        <x:f>IF(OR(D352="",E352=""),"",IF(EXACT(D352,E352),"一致","差异"))</x:f>
      </x:c>
      <x:c r="G352" s="20"/>
      <x:c r="H352" s="20"/>
      <x:c r="I352" s="20"/>
      <x:c r="J352" s="20"/>
      <x:c r="K352" s="20"/>
      <x:c r="L352" s="20"/>
      <x:c r="M352" s="20"/>
      <x:c r="N352" s="20"/>
    </x:row>
    <x:row r="353">
      <x:c r="A353" s="20"/>
      <x:c r="B353" s="20"/>
      <x:c r="C353" s="20"/>
      <x:c r="D353" s="20"/>
      <x:c r="E353" s="20"/>
      <x:c r="F353" s="20" t="str">
        <x:f>IF(OR(D353="",E353=""),"",IF(EXACT(D353,E353),"一致","差异"))</x:f>
      </x:c>
      <x:c r="G353" s="20"/>
      <x:c r="H353" s="20"/>
      <x:c r="I353" s="20"/>
      <x:c r="J353" s="20"/>
      <x:c r="K353" s="20"/>
      <x:c r="L353" s="20"/>
      <x:c r="M353" s="20"/>
      <x:c r="N353" s="20"/>
    </x:row>
    <x:row r="354">
      <x:c r="A354" s="20"/>
      <x:c r="B354" s="20"/>
      <x:c r="C354" s="20"/>
      <x:c r="D354" s="20"/>
      <x:c r="E354" s="20"/>
      <x:c r="F354" s="20" t="str">
        <x:f>IF(OR(D354="",E354=""),"",IF(EXACT(D354,E354),"一致","差异"))</x:f>
      </x:c>
      <x:c r="G354" s="20"/>
      <x:c r="H354" s="20"/>
      <x:c r="I354" s="20"/>
      <x:c r="J354" s="20"/>
      <x:c r="K354" s="20"/>
      <x:c r="L354" s="20"/>
      <x:c r="M354" s="20"/>
      <x:c r="N354" s="20"/>
    </x:row>
    <x:row r="355">
      <x:c r="A355" s="20"/>
      <x:c r="B355" s="20"/>
      <x:c r="C355" s="20"/>
      <x:c r="D355" s="20"/>
      <x:c r="E355" s="20"/>
      <x:c r="F355" s="20" t="str">
        <x:f>IF(OR(D355="",E355=""),"",IF(EXACT(D355,E355),"一致","差异"))</x:f>
      </x:c>
      <x:c r="G355" s="20"/>
      <x:c r="H355" s="20"/>
      <x:c r="I355" s="20"/>
      <x:c r="J355" s="20"/>
      <x:c r="K355" s="20"/>
      <x:c r="L355" s="20"/>
      <x:c r="M355" s="20"/>
      <x:c r="N355" s="20"/>
    </x:row>
    <x:row r="356">
      <x:c r="A356" s="20"/>
      <x:c r="B356" s="20"/>
      <x:c r="C356" s="20"/>
      <x:c r="D356" s="20"/>
      <x:c r="E356" s="20"/>
      <x:c r="F356" s="20" t="str">
        <x:f>IF(OR(D356="",E356=""),"",IF(EXACT(D356,E356),"一致","差异"))</x:f>
      </x:c>
      <x:c r="G356" s="20"/>
      <x:c r="H356" s="20"/>
      <x:c r="I356" s="20"/>
      <x:c r="J356" s="20"/>
      <x:c r="K356" s="20"/>
      <x:c r="L356" s="20"/>
      <x:c r="M356" s="20"/>
      <x:c r="N356" s="20"/>
    </x:row>
    <x:row r="357">
      <x:c r="A357" s="20"/>
      <x:c r="B357" s="20"/>
      <x:c r="C357" s="20"/>
      <x:c r="D357" s="20"/>
      <x:c r="E357" s="20"/>
      <x:c r="F357" s="20" t="str">
        <x:f>IF(OR(D357="",E357=""),"",IF(EXACT(D357,E357),"一致","差异"))</x:f>
      </x:c>
      <x:c r="G357" s="20"/>
      <x:c r="H357" s="20"/>
      <x:c r="I357" s="20"/>
      <x:c r="J357" s="20"/>
      <x:c r="K357" s="20"/>
      <x:c r="L357" s="20"/>
      <x:c r="M357" s="20"/>
      <x:c r="N357" s="20"/>
    </x:row>
    <x:row r="358">
      <x:c r="A358" s="20"/>
      <x:c r="B358" s="20"/>
      <x:c r="C358" s="20"/>
      <x:c r="D358" s="20"/>
      <x:c r="E358" s="20"/>
      <x:c r="F358" s="20" t="str">
        <x:f>IF(OR(D358="",E358=""),"",IF(EXACT(D358,E358),"一致","差异"))</x:f>
      </x:c>
      <x:c r="G358" s="20"/>
      <x:c r="H358" s="20"/>
      <x:c r="I358" s="20"/>
      <x:c r="J358" s="20"/>
      <x:c r="K358" s="20"/>
      <x:c r="L358" s="20"/>
      <x:c r="M358" s="20"/>
      <x:c r="N358" s="20"/>
    </x:row>
    <x:row r="359">
      <x:c r="A359" s="20"/>
      <x:c r="B359" s="20"/>
      <x:c r="C359" s="20"/>
      <x:c r="D359" s="20"/>
      <x:c r="E359" s="20"/>
      <x:c r="F359" s="20" t="str">
        <x:f>IF(OR(D359="",E359=""),"",IF(EXACT(D359,E359),"一致","差异"))</x:f>
      </x:c>
      <x:c r="G359" s="20"/>
      <x:c r="H359" s="20"/>
      <x:c r="I359" s="20"/>
      <x:c r="J359" s="20"/>
      <x:c r="K359" s="20"/>
      <x:c r="L359" s="20"/>
      <x:c r="M359" s="20"/>
      <x:c r="N359" s="20"/>
    </x:row>
    <x:row r="360">
      <x:c r="A360" s="20"/>
      <x:c r="B360" s="20"/>
      <x:c r="C360" s="20"/>
      <x:c r="D360" s="20"/>
      <x:c r="E360" s="20"/>
      <x:c r="F360" s="20" t="str">
        <x:f>IF(OR(D360="",E360=""),"",IF(EXACT(D360,E360),"一致","差异"))</x:f>
      </x:c>
      <x:c r="G360" s="20"/>
      <x:c r="H360" s="20"/>
      <x:c r="I360" s="20"/>
      <x:c r="J360" s="20"/>
      <x:c r="K360" s="20"/>
      <x:c r="L360" s="20"/>
      <x:c r="M360" s="20"/>
      <x:c r="N360" s="20"/>
    </x:row>
    <x:row r="361">
      <x:c r="A361" s="20"/>
      <x:c r="B361" s="20"/>
      <x:c r="C361" s="20"/>
      <x:c r="D361" s="20"/>
      <x:c r="E361" s="20"/>
      <x:c r="F361" s="20" t="str">
        <x:f>IF(OR(D361="",E361=""),"",IF(EXACT(D361,E361),"一致","差异"))</x:f>
      </x:c>
      <x:c r="G361" s="20"/>
      <x:c r="H361" s="20"/>
      <x:c r="I361" s="20"/>
      <x:c r="J361" s="20"/>
      <x:c r="K361" s="20"/>
      <x:c r="L361" s="20"/>
      <x:c r="M361" s="20"/>
      <x:c r="N361" s="20"/>
    </x:row>
    <x:row r="362">
      <x:c r="A362" s="20"/>
      <x:c r="B362" s="20"/>
      <x:c r="C362" s="20"/>
      <x:c r="D362" s="20"/>
      <x:c r="E362" s="20"/>
      <x:c r="F362" s="20" t="str">
        <x:f>IF(OR(D362="",E362=""),"",IF(EXACT(D362,E362),"一致","差异"))</x:f>
      </x:c>
      <x:c r="G362" s="20"/>
      <x:c r="H362" s="20"/>
      <x:c r="I362" s="20"/>
      <x:c r="J362" s="20"/>
      <x:c r="K362" s="20"/>
      <x:c r="L362" s="20"/>
      <x:c r="M362" s="20"/>
      <x:c r="N362" s="20"/>
    </x:row>
    <x:row r="363">
      <x:c r="A363" s="20"/>
      <x:c r="B363" s="20"/>
      <x:c r="C363" s="20"/>
      <x:c r="D363" s="20"/>
      <x:c r="E363" s="20"/>
      <x:c r="F363" s="20" t="str">
        <x:f>IF(OR(D363="",E363=""),"",IF(EXACT(D363,E363),"一致","差异"))</x:f>
      </x:c>
      <x:c r="G363" s="20"/>
      <x:c r="H363" s="20"/>
      <x:c r="I363" s="20"/>
      <x:c r="J363" s="20"/>
      <x:c r="K363" s="20"/>
      <x:c r="L363" s="20"/>
      <x:c r="M363" s="20"/>
      <x:c r="N363" s="20"/>
    </x:row>
    <x:row r="364">
      <x:c r="A364" s="20"/>
      <x:c r="B364" s="20"/>
      <x:c r="C364" s="20"/>
      <x:c r="D364" s="20"/>
      <x:c r="E364" s="20"/>
      <x:c r="F364" s="20" t="str">
        <x:f>IF(OR(D364="",E364=""),"",IF(EXACT(D364,E364),"一致","差异"))</x:f>
      </x:c>
      <x:c r="G364" s="20"/>
      <x:c r="H364" s="20"/>
      <x:c r="I364" s="20"/>
      <x:c r="J364" s="20"/>
      <x:c r="K364" s="20"/>
      <x:c r="L364" s="20"/>
      <x:c r="M364" s="20"/>
      <x:c r="N364" s="20"/>
    </x:row>
    <x:row r="365">
      <x:c r="A365" s="20"/>
      <x:c r="B365" s="20"/>
      <x:c r="C365" s="20"/>
      <x:c r="D365" s="20"/>
      <x:c r="E365" s="20"/>
      <x:c r="F365" s="20" t="str">
        <x:f>IF(OR(D365="",E365=""),"",IF(EXACT(D365,E365),"一致","差异"))</x:f>
      </x:c>
      <x:c r="G365" s="20"/>
      <x:c r="H365" s="20"/>
      <x:c r="I365" s="20"/>
      <x:c r="J365" s="20"/>
      <x:c r="K365" s="20"/>
      <x:c r="L365" s="20"/>
      <x:c r="M365" s="20"/>
      <x:c r="N365" s="20"/>
    </x:row>
    <x:row r="366">
      <x:c r="A366" s="20"/>
      <x:c r="B366" s="20"/>
      <x:c r="C366" s="20"/>
      <x:c r="D366" s="20"/>
      <x:c r="E366" s="20"/>
      <x:c r="F366" s="20" t="str">
        <x:f>IF(OR(D366="",E366=""),"",IF(EXACT(D366,E366),"一致","差异"))</x:f>
      </x:c>
      <x:c r="G366" s="20"/>
      <x:c r="H366" s="20"/>
      <x:c r="I366" s="20"/>
      <x:c r="J366" s="20"/>
      <x:c r="K366" s="20"/>
      <x:c r="L366" s="20"/>
      <x:c r="M366" s="20"/>
      <x:c r="N366" s="20"/>
    </x:row>
    <x:row r="367">
      <x:c r="A367" s="20"/>
      <x:c r="B367" s="20"/>
      <x:c r="C367" s="20"/>
      <x:c r="D367" s="20"/>
      <x:c r="E367" s="20"/>
      <x:c r="F367" s="20" t="str">
        <x:f>IF(OR(D367="",E367=""),"",IF(EXACT(D367,E367),"一致","差异"))</x:f>
      </x:c>
      <x:c r="G367" s="20"/>
      <x:c r="H367" s="20"/>
      <x:c r="I367" s="20"/>
      <x:c r="J367" s="20"/>
      <x:c r="K367" s="20"/>
      <x:c r="L367" s="20"/>
      <x:c r="M367" s="20"/>
      <x:c r="N367" s="20"/>
    </x:row>
    <x:row r="368">
      <x:c r="A368" s="20"/>
      <x:c r="B368" s="20"/>
      <x:c r="C368" s="20"/>
      <x:c r="D368" s="20"/>
      <x:c r="E368" s="20"/>
      <x:c r="F368" s="20" t="str">
        <x:f>IF(OR(D368="",E368=""),"",IF(EXACT(D368,E368),"一致","差异"))</x:f>
      </x:c>
      <x:c r="G368" s="20"/>
      <x:c r="H368" s="20"/>
      <x:c r="I368" s="20"/>
      <x:c r="J368" s="20"/>
      <x:c r="K368" s="20"/>
      <x:c r="L368" s="20"/>
      <x:c r="M368" s="20"/>
      <x:c r="N368" s="20"/>
    </x:row>
    <x:row r="369">
      <x:c r="A369" s="20"/>
      <x:c r="B369" s="20"/>
      <x:c r="C369" s="20"/>
      <x:c r="D369" s="20"/>
      <x:c r="E369" s="20"/>
      <x:c r="F369" s="20" t="str">
        <x:f>IF(OR(D369="",E369=""),"",IF(EXACT(D369,E369),"一致","差异"))</x:f>
      </x:c>
      <x:c r="G369" s="20"/>
      <x:c r="H369" s="20"/>
      <x:c r="I369" s="20"/>
      <x:c r="J369" s="20"/>
      <x:c r="K369" s="20"/>
      <x:c r="L369" s="20"/>
      <x:c r="M369" s="20"/>
      <x:c r="N369" s="20"/>
    </x:row>
    <x:row r="370">
      <x:c r="A370" s="20"/>
      <x:c r="B370" s="20"/>
      <x:c r="C370" s="20"/>
      <x:c r="D370" s="20"/>
      <x:c r="E370" s="20"/>
      <x:c r="F370" s="20" t="str">
        <x:f>IF(OR(D370="",E370=""),"",IF(EXACT(D370,E370),"一致","差异"))</x:f>
      </x:c>
      <x:c r="G370" s="20"/>
      <x:c r="H370" s="20"/>
      <x:c r="I370" s="20"/>
      <x:c r="J370" s="20"/>
      <x:c r="K370" s="20"/>
      <x:c r="L370" s="20"/>
      <x:c r="M370" s="20"/>
      <x:c r="N370" s="20"/>
    </x:row>
    <x:row r="371">
      <x:c r="A371" s="20"/>
      <x:c r="B371" s="20"/>
      <x:c r="C371" s="20"/>
      <x:c r="D371" s="20"/>
      <x:c r="E371" s="20"/>
      <x:c r="F371" s="20" t="str">
        <x:f>IF(OR(D371="",E371=""),"",IF(EXACT(D371,E371),"一致","差异"))</x:f>
      </x:c>
      <x:c r="G371" s="20"/>
      <x:c r="H371" s="20"/>
      <x:c r="I371" s="20"/>
      <x:c r="J371" s="20"/>
      <x:c r="K371" s="20"/>
      <x:c r="L371" s="20"/>
      <x:c r="M371" s="20"/>
      <x:c r="N371" s="20"/>
    </x:row>
    <x:row r="372">
      <x:c r="A372" s="20"/>
      <x:c r="B372" s="20"/>
      <x:c r="C372" s="20"/>
      <x:c r="D372" s="20"/>
      <x:c r="E372" s="20"/>
      <x:c r="F372" s="20" t="str">
        <x:f>IF(OR(D372="",E372=""),"",IF(EXACT(D372,E372),"一致","差异"))</x:f>
      </x:c>
      <x:c r="G372" s="20"/>
      <x:c r="H372" s="20"/>
      <x:c r="I372" s="20"/>
      <x:c r="J372" s="20"/>
      <x:c r="K372" s="20"/>
      <x:c r="L372" s="20"/>
      <x:c r="M372" s="20"/>
      <x:c r="N372" s="20"/>
    </x:row>
    <x:row r="373">
      <x:c r="A373" s="20"/>
      <x:c r="B373" s="20"/>
      <x:c r="C373" s="20"/>
      <x:c r="D373" s="20"/>
      <x:c r="E373" s="20"/>
      <x:c r="F373" s="20" t="str">
        <x:f>IF(OR(D373="",E373=""),"",IF(EXACT(D373,E373),"一致","差异"))</x:f>
      </x:c>
      <x:c r="G373" s="20"/>
      <x:c r="H373" s="20"/>
      <x:c r="I373" s="20"/>
      <x:c r="J373" s="20"/>
      <x:c r="K373" s="20"/>
      <x:c r="L373" s="20"/>
      <x:c r="M373" s="20"/>
      <x:c r="N373" s="20"/>
    </x:row>
    <x:row r="374">
      <x:c r="A374" s="20"/>
      <x:c r="B374" s="20"/>
      <x:c r="C374" s="20"/>
      <x:c r="D374" s="20"/>
      <x:c r="E374" s="20"/>
      <x:c r="F374" s="20" t="str">
        <x:f>IF(OR(D374="",E374=""),"",IF(EXACT(D374,E374),"一致","差异"))</x:f>
      </x:c>
      <x:c r="G374" s="20"/>
      <x:c r="H374" s="20"/>
      <x:c r="I374" s="20"/>
      <x:c r="J374" s="20"/>
      <x:c r="K374" s="20"/>
      <x:c r="L374" s="20"/>
      <x:c r="M374" s="20"/>
      <x:c r="N374" s="20"/>
    </x:row>
    <x:row r="375">
      <x:c r="A375" s="20"/>
      <x:c r="B375" s="20"/>
      <x:c r="C375" s="20"/>
      <x:c r="D375" s="20"/>
      <x:c r="E375" s="20"/>
      <x:c r="F375" s="20" t="str">
        <x:f>IF(OR(D375="",E375=""),"",IF(EXACT(D375,E375),"一致","差异"))</x:f>
      </x:c>
      <x:c r="G375" s="20"/>
      <x:c r="H375" s="20"/>
      <x:c r="I375" s="20"/>
      <x:c r="J375" s="20"/>
      <x:c r="K375" s="20"/>
      <x:c r="L375" s="20"/>
      <x:c r="M375" s="20"/>
      <x:c r="N375" s="20"/>
    </x:row>
    <x:row r="376">
      <x:c r="A376" s="20"/>
      <x:c r="B376" s="20"/>
      <x:c r="C376" s="20"/>
      <x:c r="D376" s="20"/>
      <x:c r="E376" s="20"/>
      <x:c r="F376" s="20" t="str">
        <x:f>IF(OR(D376="",E376=""),"",IF(EXACT(D376,E376),"一致","差异"))</x:f>
      </x:c>
      <x:c r="G376" s="20"/>
      <x:c r="H376" s="20"/>
      <x:c r="I376" s="20"/>
      <x:c r="J376" s="20"/>
      <x:c r="K376" s="20"/>
      <x:c r="L376" s="20"/>
      <x:c r="M376" s="20"/>
      <x:c r="N376" s="20"/>
    </x:row>
    <x:row r="377">
      <x:c r="A377" s="20"/>
      <x:c r="B377" s="20"/>
      <x:c r="C377" s="20"/>
      <x:c r="D377" s="20"/>
      <x:c r="E377" s="20"/>
      <x:c r="F377" s="20" t="str">
        <x:f>IF(OR(D377="",E377=""),"",IF(EXACT(D377,E377),"一致","差异"))</x:f>
      </x:c>
      <x:c r="G377" s="20"/>
      <x:c r="H377" s="20"/>
      <x:c r="I377" s="20"/>
      <x:c r="J377" s="20"/>
      <x:c r="K377" s="20"/>
      <x:c r="L377" s="20"/>
      <x:c r="M377" s="20"/>
      <x:c r="N377" s="20"/>
    </x:row>
    <x:row r="378">
      <x:c r="A378" s="20"/>
      <x:c r="B378" s="20"/>
      <x:c r="C378" s="20"/>
      <x:c r="D378" s="20"/>
      <x:c r="E378" s="20"/>
      <x:c r="F378" s="20" t="str">
        <x:f>IF(OR(D378="",E378=""),"",IF(EXACT(D378,E378),"一致","差异"))</x:f>
      </x:c>
      <x:c r="G378" s="20"/>
      <x:c r="H378" s="20"/>
      <x:c r="I378" s="20"/>
      <x:c r="J378" s="20"/>
      <x:c r="K378" s="20"/>
      <x:c r="L378" s="20"/>
      <x:c r="M378" s="20"/>
      <x:c r="N378" s="20"/>
    </x:row>
    <x:row r="379">
      <x:c r="A379" s="20"/>
      <x:c r="B379" s="20"/>
      <x:c r="C379" s="20"/>
      <x:c r="D379" s="20"/>
      <x:c r="E379" s="20"/>
      <x:c r="F379" s="20" t="str">
        <x:f>IF(OR(D379="",E379=""),"",IF(EXACT(D379,E379),"一致","差异"))</x:f>
      </x:c>
      <x:c r="G379" s="20"/>
      <x:c r="H379" s="20"/>
      <x:c r="I379" s="20"/>
      <x:c r="J379" s="20"/>
      <x:c r="K379" s="20"/>
      <x:c r="L379" s="20"/>
      <x:c r="M379" s="20"/>
      <x:c r="N379" s="20"/>
    </x:row>
    <x:row r="380">
      <x:c r="A380" s="20"/>
      <x:c r="B380" s="20"/>
      <x:c r="C380" s="20"/>
      <x:c r="D380" s="20"/>
      <x:c r="E380" s="20"/>
      <x:c r="F380" s="20" t="str">
        <x:f>IF(OR(D380="",E380=""),"",IF(EXACT(D380,E380),"一致","差异"))</x:f>
      </x:c>
      <x:c r="G380" s="20"/>
      <x:c r="H380" s="20"/>
      <x:c r="I380" s="20"/>
      <x:c r="J380" s="20"/>
      <x:c r="K380" s="20"/>
      <x:c r="L380" s="20"/>
      <x:c r="M380" s="20"/>
      <x:c r="N380" s="20"/>
    </x:row>
    <x:row r="381">
      <x:c r="A381" s="20"/>
      <x:c r="B381" s="20"/>
      <x:c r="C381" s="20"/>
      <x:c r="D381" s="20"/>
      <x:c r="E381" s="20"/>
      <x:c r="F381" s="20" t="str">
        <x:f>IF(OR(D381="",E381=""),"",IF(EXACT(D381,E381),"一致","差异"))</x:f>
      </x:c>
      <x:c r="G381" s="20"/>
      <x:c r="H381" s="20"/>
      <x:c r="I381" s="20"/>
      <x:c r="J381" s="20"/>
      <x:c r="K381" s="20"/>
      <x:c r="L381" s="20"/>
      <x:c r="M381" s="20"/>
      <x:c r="N381" s="20"/>
    </x:row>
    <x:row r="382">
      <x:c r="A382" s="20"/>
      <x:c r="B382" s="20"/>
      <x:c r="C382" s="20"/>
      <x:c r="D382" s="20"/>
      <x:c r="E382" s="20"/>
      <x:c r="F382" s="20" t="str">
        <x:f>IF(OR(D382="",E382=""),"",IF(EXACT(D382,E382),"一致","差异"))</x:f>
      </x:c>
      <x:c r="G382" s="20"/>
      <x:c r="H382" s="20"/>
      <x:c r="I382" s="20"/>
      <x:c r="J382" s="20"/>
      <x:c r="K382" s="20"/>
      <x:c r="L382" s="20"/>
      <x:c r="M382" s="20"/>
      <x:c r="N382" s="20"/>
    </x:row>
    <x:row r="383">
      <x:c r="A383" s="20"/>
      <x:c r="B383" s="20"/>
      <x:c r="C383" s="20"/>
      <x:c r="D383" s="20"/>
      <x:c r="E383" s="20"/>
      <x:c r="F383" s="20" t="str">
        <x:f>IF(OR(D383="",E383=""),"",IF(EXACT(D383,E383),"一致","差异"))</x:f>
      </x:c>
      <x:c r="G383" s="20"/>
      <x:c r="H383" s="20"/>
      <x:c r="I383" s="20"/>
      <x:c r="J383" s="20"/>
      <x:c r="K383" s="20"/>
      <x:c r="L383" s="20"/>
      <x:c r="M383" s="20"/>
      <x:c r="N383" s="20"/>
    </x:row>
    <x:row r="384">
      <x:c r="A384" s="20"/>
      <x:c r="B384" s="20"/>
      <x:c r="C384" s="20"/>
      <x:c r="D384" s="20"/>
      <x:c r="E384" s="20"/>
      <x:c r="F384" s="20" t="str">
        <x:f>IF(OR(D384="",E384=""),"",IF(EXACT(D384,E384),"一致","差异"))</x:f>
      </x:c>
      <x:c r="G384" s="20"/>
      <x:c r="H384" s="20"/>
      <x:c r="I384" s="20"/>
      <x:c r="J384" s="20"/>
      <x:c r="K384" s="20"/>
      <x:c r="L384" s="20"/>
      <x:c r="M384" s="20"/>
      <x:c r="N384" s="20"/>
    </x:row>
    <x:row r="385">
      <x:c r="A385" s="20"/>
      <x:c r="B385" s="20"/>
      <x:c r="C385" s="20"/>
      <x:c r="D385" s="20"/>
      <x:c r="E385" s="20"/>
      <x:c r="F385" s="20" t="str">
        <x:f>IF(OR(D385="",E385=""),"",IF(EXACT(D385,E385),"一致","差异"))</x:f>
      </x:c>
      <x:c r="G385" s="20"/>
      <x:c r="H385" s="20"/>
      <x:c r="I385" s="20"/>
      <x:c r="J385" s="20"/>
      <x:c r="K385" s="20"/>
      <x:c r="L385" s="20"/>
      <x:c r="M385" s="20"/>
      <x:c r="N385" s="20"/>
    </x:row>
    <x:row r="386">
      <x:c r="A386" s="20"/>
      <x:c r="B386" s="20"/>
      <x:c r="C386" s="20"/>
      <x:c r="D386" s="20"/>
      <x:c r="E386" s="20"/>
      <x:c r="F386" s="20" t="str">
        <x:f>IF(OR(D386="",E386=""),"",IF(EXACT(D386,E386),"一致","差异"))</x:f>
      </x:c>
      <x:c r="G386" s="20"/>
      <x:c r="H386" s="20"/>
      <x:c r="I386" s="20"/>
      <x:c r="J386" s="20"/>
      <x:c r="K386" s="20"/>
      <x:c r="L386" s="20"/>
      <x:c r="M386" s="20"/>
      <x:c r="N386" s="20"/>
    </x:row>
    <x:row r="387">
      <x:c r="A387" s="20"/>
      <x:c r="B387" s="20"/>
      <x:c r="C387" s="20"/>
      <x:c r="D387" s="20"/>
      <x:c r="E387" s="20"/>
      <x:c r="F387" s="20" t="str">
        <x:f>IF(OR(D387="",E387=""),"",IF(EXACT(D387,E387),"一致","差异"))</x:f>
      </x:c>
      <x:c r="G387" s="20"/>
      <x:c r="H387" s="20"/>
      <x:c r="I387" s="20"/>
      <x:c r="J387" s="20"/>
      <x:c r="K387" s="20"/>
      <x:c r="L387" s="20"/>
      <x:c r="M387" s="20"/>
      <x:c r="N387" s="20"/>
    </x:row>
    <x:row r="388">
      <x:c r="A388" s="20"/>
      <x:c r="B388" s="20"/>
      <x:c r="C388" s="20"/>
      <x:c r="D388" s="20"/>
      <x:c r="E388" s="20"/>
      <x:c r="F388" s="20" t="str">
        <x:f>IF(OR(D388="",E388=""),"",IF(EXACT(D388,E388),"一致","差异"))</x:f>
      </x:c>
      <x:c r="G388" s="20"/>
      <x:c r="H388" s="20"/>
      <x:c r="I388" s="20"/>
      <x:c r="J388" s="20"/>
      <x:c r="K388" s="20"/>
      <x:c r="L388" s="20"/>
      <x:c r="M388" s="20"/>
      <x:c r="N388" s="20"/>
    </x:row>
    <x:row r="389">
      <x:c r="A389" s="20"/>
      <x:c r="B389" s="20"/>
      <x:c r="C389" s="20"/>
      <x:c r="D389" s="20"/>
      <x:c r="E389" s="20"/>
      <x:c r="F389" s="20" t="str">
        <x:f>IF(OR(D389="",E389=""),"",IF(EXACT(D389,E389),"一致","差异"))</x:f>
      </x:c>
      <x:c r="G389" s="20"/>
      <x:c r="H389" s="20"/>
      <x:c r="I389" s="20"/>
      <x:c r="J389" s="20"/>
      <x:c r="K389" s="20"/>
      <x:c r="L389" s="20"/>
      <x:c r="M389" s="20"/>
      <x:c r="N389" s="20"/>
    </x:row>
    <x:row r="390">
      <x:c r="A390" s="20"/>
      <x:c r="B390" s="20"/>
      <x:c r="C390" s="20"/>
      <x:c r="D390" s="20"/>
      <x:c r="E390" s="20"/>
      <x:c r="F390" s="20" t="str">
        <x:f>IF(OR(D390="",E390=""),"",IF(EXACT(D390,E390),"一致","差异"))</x:f>
      </x:c>
      <x:c r="G390" s="20"/>
      <x:c r="H390" s="20"/>
      <x:c r="I390" s="20"/>
      <x:c r="J390" s="20"/>
      <x:c r="K390" s="20"/>
      <x:c r="L390" s="20"/>
      <x:c r="M390" s="20"/>
      <x:c r="N390" s="20"/>
    </x:row>
    <x:row r="391">
      <x:c r="A391" s="20"/>
      <x:c r="B391" s="20"/>
      <x:c r="C391" s="20"/>
      <x:c r="D391" s="20"/>
      <x:c r="E391" s="20"/>
      <x:c r="F391" s="20" t="str">
        <x:f>IF(OR(D391="",E391=""),"",IF(EXACT(D391,E391),"一致","差异"))</x:f>
      </x:c>
      <x:c r="G391" s="20"/>
      <x:c r="H391" s="20"/>
      <x:c r="I391" s="20"/>
      <x:c r="J391" s="20"/>
      <x:c r="K391" s="20"/>
      <x:c r="L391" s="20"/>
      <x:c r="M391" s="20"/>
      <x:c r="N391" s="20"/>
    </x:row>
    <x:row r="392">
      <x:c r="A392" s="20"/>
      <x:c r="B392" s="20"/>
      <x:c r="C392" s="20"/>
      <x:c r="D392" s="20"/>
      <x:c r="E392" s="20"/>
      <x:c r="F392" s="20" t="str">
        <x:f>IF(OR(D392="",E392=""),"",IF(EXACT(D392,E392),"一致","差异"))</x:f>
      </x:c>
      <x:c r="G392" s="20"/>
      <x:c r="H392" s="20"/>
      <x:c r="I392" s="20"/>
      <x:c r="J392" s="20"/>
      <x:c r="K392" s="20"/>
      <x:c r="L392" s="20"/>
      <x:c r="M392" s="20"/>
      <x:c r="N392" s="20"/>
    </x:row>
    <x:row r="393">
      <x:c r="A393" s="20"/>
      <x:c r="B393" s="20"/>
      <x:c r="C393" s="20"/>
      <x:c r="D393" s="20"/>
      <x:c r="E393" s="20"/>
      <x:c r="F393" s="20" t="str">
        <x:f>IF(OR(D393="",E393=""),"",IF(EXACT(D393,E393),"一致","差异"))</x:f>
      </x:c>
      <x:c r="G393" s="20"/>
      <x:c r="H393" s="20"/>
      <x:c r="I393" s="20"/>
      <x:c r="J393" s="20"/>
      <x:c r="K393" s="20"/>
      <x:c r="L393" s="20"/>
      <x:c r="M393" s="20"/>
      <x:c r="N393" s="20"/>
    </x:row>
    <x:row r="394">
      <x:c r="A394" s="20"/>
      <x:c r="B394" s="20"/>
      <x:c r="C394" s="20"/>
      <x:c r="D394" s="20"/>
      <x:c r="E394" s="20"/>
      <x:c r="F394" s="20" t="str">
        <x:f>IF(OR(D394="",E394=""),"",IF(EXACT(D394,E394),"一致","差异"))</x:f>
      </x:c>
      <x:c r="G394" s="20"/>
      <x:c r="H394" s="20"/>
      <x:c r="I394" s="20"/>
      <x:c r="J394" s="20"/>
      <x:c r="K394" s="20"/>
      <x:c r="L394" s="20"/>
      <x:c r="M394" s="20"/>
      <x:c r="N394" s="20"/>
    </x:row>
    <x:row r="395">
      <x:c r="A395" s="20"/>
      <x:c r="B395" s="20"/>
      <x:c r="C395" s="20"/>
      <x:c r="D395" s="20"/>
      <x:c r="E395" s="20"/>
      <x:c r="F395" s="20" t="str">
        <x:f>IF(OR(D395="",E395=""),"",IF(EXACT(D395,E395),"一致","差异"))</x:f>
      </x:c>
      <x:c r="G395" s="20"/>
      <x:c r="H395" s="20"/>
      <x:c r="I395" s="20"/>
      <x:c r="J395" s="20"/>
      <x:c r="K395" s="20"/>
      <x:c r="L395" s="20"/>
      <x:c r="M395" s="20"/>
      <x:c r="N395" s="20"/>
    </x:row>
    <x:row r="396">
      <x:c r="A396" s="20"/>
      <x:c r="B396" s="20"/>
      <x:c r="C396" s="20"/>
      <x:c r="D396" s="20"/>
      <x:c r="E396" s="20"/>
      <x:c r="F396" s="20" t="str">
        <x:f>IF(OR(D396="",E396=""),"",IF(EXACT(D396,E396),"一致","差异"))</x:f>
      </x:c>
      <x:c r="G396" s="20"/>
      <x:c r="H396" s="20"/>
      <x:c r="I396" s="20"/>
      <x:c r="J396" s="20"/>
      <x:c r="K396" s="20"/>
      <x:c r="L396" s="20"/>
      <x:c r="M396" s="20"/>
      <x:c r="N396" s="20"/>
    </x:row>
    <x:row r="397">
      <x:c r="A397" s="20"/>
      <x:c r="B397" s="20"/>
      <x:c r="C397" s="20"/>
      <x:c r="D397" s="20"/>
      <x:c r="E397" s="20"/>
      <x:c r="F397" s="20" t="str">
        <x:f>IF(OR(D397="",E397=""),"",IF(EXACT(D397,E397),"一致","差异"))</x:f>
      </x:c>
      <x:c r="G397" s="20"/>
      <x:c r="H397" s="20"/>
      <x:c r="I397" s="20"/>
      <x:c r="J397" s="20"/>
      <x:c r="K397" s="20"/>
      <x:c r="L397" s="20"/>
      <x:c r="M397" s="20"/>
      <x:c r="N397" s="20"/>
    </x:row>
    <x:row r="398">
      <x:c r="A398" s="20"/>
      <x:c r="B398" s="20"/>
      <x:c r="C398" s="20"/>
      <x:c r="D398" s="20"/>
      <x:c r="E398" s="20"/>
      <x:c r="F398" s="20" t="str">
        <x:f>IF(OR(D398="",E398=""),"",IF(EXACT(D398,E398),"一致","差异"))</x:f>
      </x:c>
      <x:c r="G398" s="20"/>
      <x:c r="H398" s="20"/>
      <x:c r="I398" s="20"/>
      <x:c r="J398" s="20"/>
      <x:c r="K398" s="20"/>
      <x:c r="L398" s="20"/>
      <x:c r="M398" s="20"/>
      <x:c r="N398" s="20"/>
    </x:row>
    <x:row r="399">
      <x:c r="A399" s="20"/>
      <x:c r="B399" s="20"/>
      <x:c r="C399" s="20"/>
      <x:c r="D399" s="20"/>
      <x:c r="E399" s="20"/>
      <x:c r="F399" s="20" t="str">
        <x:f>IF(OR(D399="",E399=""),"",IF(EXACT(D399,E399),"一致","差异"))</x:f>
      </x:c>
      <x:c r="G399" s="20"/>
      <x:c r="H399" s="20"/>
      <x:c r="I399" s="20"/>
      <x:c r="J399" s="20"/>
      <x:c r="K399" s="20"/>
      <x:c r="L399" s="20"/>
      <x:c r="M399" s="20"/>
      <x:c r="N399" s="20"/>
    </x:row>
    <x:row r="400">
      <x:c r="A400" s="20"/>
      <x:c r="B400" s="20"/>
      <x:c r="C400" s="20"/>
      <x:c r="D400" s="20"/>
      <x:c r="E400" s="20"/>
      <x:c r="F400" s="20" t="str">
        <x:f>IF(OR(D400="",E400=""),"",IF(EXACT(D400,E400),"一致","差异"))</x:f>
      </x:c>
      <x:c r="G400" s="20"/>
      <x:c r="H400" s="20"/>
      <x:c r="I400" s="20"/>
      <x:c r="J400" s="20"/>
      <x:c r="K400" s="20"/>
      <x:c r="L400" s="20"/>
      <x:c r="M400" s="20"/>
      <x:c r="N400" s="20"/>
    </x:row>
    <x:row r="401">
      <x:c r="A401" s="20"/>
      <x:c r="B401" s="20"/>
      <x:c r="C401" s="20"/>
      <x:c r="D401" s="20"/>
      <x:c r="E401" s="20"/>
      <x:c r="F401" s="20" t="str">
        <x:f>IF(OR(D401="",E401=""),"",IF(EXACT(D401,E401),"一致","差异"))</x:f>
      </x:c>
      <x:c r="G401" s="20"/>
      <x:c r="H401" s="20"/>
      <x:c r="I401" s="20"/>
      <x:c r="J401" s="20"/>
      <x:c r="K401" s="20"/>
      <x:c r="L401" s="20"/>
      <x:c r="M401" s="20"/>
      <x:c r="N401" s="20"/>
    </x:row>
    <x:row r="402">
      <x:c r="A402" s="20"/>
      <x:c r="B402" s="20"/>
      <x:c r="C402" s="20"/>
      <x:c r="D402" s="20"/>
      <x:c r="E402" s="20"/>
      <x:c r="F402" s="20" t="str">
        <x:f>IF(OR(D402="",E402=""),"",IF(EXACT(D402,E402),"一致","差异"))</x:f>
      </x:c>
      <x:c r="G402" s="20"/>
      <x:c r="H402" s="20"/>
      <x:c r="I402" s="20"/>
      <x:c r="J402" s="20"/>
      <x:c r="K402" s="20"/>
      <x:c r="L402" s="20"/>
      <x:c r="M402" s="20"/>
      <x:c r="N402" s="20"/>
    </x:row>
    <x:row r="403">
      <x:c r="A403" s="20"/>
      <x:c r="B403" s="20"/>
      <x:c r="C403" s="20"/>
      <x:c r="D403" s="20"/>
      <x:c r="E403" s="20"/>
      <x:c r="F403" s="20" t="str">
        <x:f>IF(OR(D403="",E403=""),"",IF(EXACT(D403,E403),"一致","差异"))</x:f>
      </x:c>
      <x:c r="G403" s="20"/>
      <x:c r="H403" s="20"/>
      <x:c r="I403" s="20"/>
      <x:c r="J403" s="20"/>
      <x:c r="K403" s="20"/>
      <x:c r="L403" s="20"/>
      <x:c r="M403" s="20"/>
      <x:c r="N403" s="20"/>
    </x:row>
    <x:row r="404">
      <x:c r="A404" s="20"/>
      <x:c r="B404" s="20"/>
      <x:c r="C404" s="20"/>
      <x:c r="D404" s="20"/>
      <x:c r="E404" s="20"/>
      <x:c r="F404" s="20" t="str">
        <x:f>IF(OR(D404="",E404=""),"",IF(EXACT(D404,E404),"一致","差异"))</x:f>
      </x:c>
      <x:c r="G404" s="20"/>
      <x:c r="H404" s="20"/>
      <x:c r="I404" s="20"/>
      <x:c r="J404" s="20"/>
      <x:c r="K404" s="20"/>
      <x:c r="L404" s="20"/>
      <x:c r="M404" s="20"/>
      <x:c r="N404" s="20"/>
    </x:row>
    <x:row r="405">
      <x:c r="A405" s="20"/>
      <x:c r="B405" s="20"/>
      <x:c r="C405" s="20"/>
      <x:c r="D405" s="20"/>
      <x:c r="E405" s="20"/>
      <x:c r="F405" s="20" t="str">
        <x:f>IF(OR(D405="",E405=""),"",IF(EXACT(D405,E405),"一致","差异"))</x:f>
      </x:c>
      <x:c r="G405" s="20"/>
      <x:c r="H405" s="20"/>
      <x:c r="I405" s="20"/>
      <x:c r="J405" s="20"/>
      <x:c r="K405" s="20"/>
      <x:c r="L405" s="20"/>
      <x:c r="M405" s="20"/>
      <x:c r="N405" s="20"/>
    </x:row>
    <x:row r="406">
      <x:c r="A406" s="20"/>
      <x:c r="B406" s="20"/>
      <x:c r="C406" s="20"/>
      <x:c r="D406" s="20"/>
      <x:c r="E406" s="20"/>
      <x:c r="F406" s="20" t="str">
        <x:f>IF(OR(D406="",E406=""),"",IF(EXACT(D406,E406),"一致","差异"))</x:f>
      </x:c>
      <x:c r="G406" s="20"/>
      <x:c r="H406" s="20"/>
      <x:c r="I406" s="20"/>
      <x:c r="J406" s="20"/>
      <x:c r="K406" s="20"/>
      <x:c r="L406" s="20"/>
      <x:c r="M406" s="20"/>
      <x:c r="N406" s="20"/>
    </x:row>
    <x:row r="407">
      <x:c r="A407" s="20"/>
      <x:c r="B407" s="20"/>
      <x:c r="C407" s="20"/>
      <x:c r="D407" s="20"/>
      <x:c r="E407" s="20"/>
      <x:c r="F407" s="20" t="str">
        <x:f>IF(OR(D407="",E407=""),"",IF(EXACT(D407,E407),"一致","差异"))</x:f>
      </x:c>
      <x:c r="G407" s="20"/>
      <x:c r="H407" s="20"/>
      <x:c r="I407" s="20"/>
      <x:c r="J407" s="20"/>
      <x:c r="K407" s="20"/>
      <x:c r="L407" s="20"/>
      <x:c r="M407" s="20"/>
      <x:c r="N407" s="20"/>
    </x:row>
    <x:row r="408">
      <x:c r="A408" s="20"/>
      <x:c r="B408" s="20"/>
      <x:c r="C408" s="20"/>
      <x:c r="D408" s="20"/>
      <x:c r="E408" s="20"/>
      <x:c r="F408" s="20" t="str">
        <x:f>IF(OR(D408="",E408=""),"",IF(EXACT(D408,E408),"一致","差异"))</x:f>
      </x:c>
      <x:c r="G408" s="20"/>
      <x:c r="H408" s="20"/>
      <x:c r="I408" s="20"/>
      <x:c r="J408" s="20"/>
      <x:c r="K408" s="20"/>
      <x:c r="L408" s="20"/>
      <x:c r="M408" s="20"/>
      <x:c r="N408" s="20"/>
    </x:row>
    <x:row r="409">
      <x:c r="A409" s="20"/>
      <x:c r="B409" s="20"/>
      <x:c r="C409" s="20"/>
      <x:c r="D409" s="20"/>
      <x:c r="E409" s="20"/>
      <x:c r="F409" s="20" t="str">
        <x:f>IF(OR(D409="",E409=""),"",IF(EXACT(D409,E409),"一致","差异"))</x:f>
      </x:c>
      <x:c r="G409" s="20"/>
      <x:c r="H409" s="20"/>
      <x:c r="I409" s="20"/>
      <x:c r="J409" s="20"/>
      <x:c r="K409" s="20"/>
      <x:c r="L409" s="20"/>
      <x:c r="M409" s="20"/>
      <x:c r="N409" s="20"/>
    </x:row>
    <x:row r="410">
      <x:c r="A410" s="20"/>
      <x:c r="B410" s="20"/>
      <x:c r="C410" s="20"/>
      <x:c r="D410" s="20"/>
      <x:c r="E410" s="20"/>
      <x:c r="F410" s="20" t="str">
        <x:f>IF(OR(D410="",E410=""),"",IF(EXACT(D410,E410),"一致","差异"))</x:f>
      </x:c>
      <x:c r="G410" s="20"/>
      <x:c r="H410" s="20"/>
      <x:c r="I410" s="20"/>
      <x:c r="J410" s="20"/>
      <x:c r="K410" s="20"/>
      <x:c r="L410" s="20"/>
      <x:c r="M410" s="20"/>
      <x:c r="N410" s="20"/>
    </x:row>
    <x:row r="411">
      <x:c r="A411" s="20"/>
      <x:c r="B411" s="20"/>
      <x:c r="C411" s="20"/>
      <x:c r="D411" s="20"/>
      <x:c r="E411" s="20"/>
      <x:c r="F411" s="20" t="str">
        <x:f>IF(OR(D411="",E411=""),"",IF(EXACT(D411,E411),"一致","差异"))</x:f>
      </x:c>
      <x:c r="G411" s="20"/>
      <x:c r="H411" s="20"/>
      <x:c r="I411" s="20"/>
      <x:c r="J411" s="20"/>
      <x:c r="K411" s="20"/>
      <x:c r="L411" s="20"/>
      <x:c r="M411" s="20"/>
      <x:c r="N411" s="20"/>
    </x:row>
    <x:row r="412">
      <x:c r="A412" s="20"/>
      <x:c r="B412" s="20"/>
      <x:c r="C412" s="20"/>
      <x:c r="D412" s="20"/>
      <x:c r="E412" s="20"/>
      <x:c r="F412" s="20" t="str">
        <x:f>IF(OR(D412="",E412=""),"",IF(EXACT(D412,E412),"一致","差异"))</x:f>
      </x:c>
      <x:c r="G412" s="20"/>
      <x:c r="H412" s="20"/>
      <x:c r="I412" s="20"/>
      <x:c r="J412" s="20"/>
      <x:c r="K412" s="20"/>
      <x:c r="L412" s="20"/>
      <x:c r="M412" s="20"/>
      <x:c r="N412" s="20"/>
    </x:row>
    <x:row r="413">
      <x:c r="A413" s="20"/>
      <x:c r="B413" s="20"/>
      <x:c r="C413" s="20"/>
      <x:c r="D413" s="20"/>
      <x:c r="E413" s="20"/>
      <x:c r="F413" s="20" t="str">
        <x:f>IF(OR(D413="",E413=""),"",IF(EXACT(D413,E413),"一致","差异"))</x:f>
      </x:c>
      <x:c r="G413" s="20"/>
      <x:c r="H413" s="20"/>
      <x:c r="I413" s="20"/>
      <x:c r="J413" s="20"/>
      <x:c r="K413" s="20"/>
      <x:c r="L413" s="20"/>
      <x:c r="M413" s="20"/>
      <x:c r="N413" s="20"/>
    </x:row>
    <x:row r="414">
      <x:c r="A414" s="20"/>
      <x:c r="B414" s="20"/>
      <x:c r="C414" s="20"/>
      <x:c r="D414" s="20"/>
      <x:c r="E414" s="20"/>
      <x:c r="F414" s="20" t="str">
        <x:f>IF(OR(D414="",E414=""),"",IF(EXACT(D414,E414),"一致","差异"))</x:f>
      </x:c>
      <x:c r="G414" s="20"/>
      <x:c r="H414" s="20"/>
      <x:c r="I414" s="20"/>
      <x:c r="J414" s="20"/>
      <x:c r="K414" s="20"/>
      <x:c r="L414" s="20"/>
      <x:c r="M414" s="20"/>
      <x:c r="N414" s="20"/>
    </x:row>
    <x:row r="415">
      <x:c r="A415" s="20"/>
      <x:c r="B415" s="20"/>
      <x:c r="C415" s="20"/>
      <x:c r="D415" s="20"/>
      <x:c r="E415" s="20"/>
      <x:c r="F415" s="20" t="str">
        <x:f>IF(OR(D415="",E415=""),"",IF(EXACT(D415,E415),"一致","差异"))</x:f>
      </x:c>
      <x:c r="G415" s="20"/>
      <x:c r="H415" s="20"/>
      <x:c r="I415" s="20"/>
      <x:c r="J415" s="20"/>
      <x:c r="K415" s="20"/>
      <x:c r="L415" s="20"/>
      <x:c r="M415" s="20"/>
      <x:c r="N415" s="20"/>
    </x:row>
    <x:row r="416">
      <x:c r="A416" s="20"/>
      <x:c r="B416" s="20"/>
      <x:c r="C416" s="20"/>
      <x:c r="D416" s="20"/>
      <x:c r="E416" s="20"/>
      <x:c r="F416" s="20" t="str">
        <x:f>IF(OR(D416="",E416=""),"",IF(EXACT(D416,E416),"一致","差异"))</x:f>
      </x:c>
      <x:c r="G416" s="20"/>
      <x:c r="H416" s="20"/>
      <x:c r="I416" s="20"/>
      <x:c r="J416" s="20"/>
      <x:c r="K416" s="20"/>
      <x:c r="L416" s="20"/>
      <x:c r="M416" s="20"/>
      <x:c r="N416" s="20"/>
    </x:row>
    <x:row r="417">
      <x:c r="A417" s="20"/>
      <x:c r="B417" s="20"/>
      <x:c r="C417" s="20"/>
      <x:c r="D417" s="20"/>
      <x:c r="E417" s="20"/>
      <x:c r="F417" s="20" t="str">
        <x:f>IF(OR(D417="",E417=""),"",IF(EXACT(D417,E417),"一致","差异"))</x:f>
      </x:c>
      <x:c r="G417" s="20"/>
      <x:c r="H417" s="20"/>
      <x:c r="I417" s="20"/>
      <x:c r="J417" s="20"/>
      <x:c r="K417" s="20"/>
      <x:c r="L417" s="20"/>
      <x:c r="M417" s="20"/>
      <x:c r="N417" s="20"/>
    </x:row>
    <x:row r="418">
      <x:c r="A418" s="20"/>
      <x:c r="B418" s="20"/>
      <x:c r="C418" s="20"/>
      <x:c r="D418" s="20"/>
      <x:c r="E418" s="20"/>
      <x:c r="F418" s="20" t="str">
        <x:f>IF(OR(D418="",E418=""),"",IF(EXACT(D418,E418),"一致","差异"))</x:f>
      </x:c>
      <x:c r="G418" s="20"/>
      <x:c r="H418" s="20"/>
      <x:c r="I418" s="20"/>
      <x:c r="J418" s="20"/>
      <x:c r="K418" s="20"/>
      <x:c r="L418" s="20"/>
      <x:c r="M418" s="20"/>
      <x:c r="N418" s="20"/>
    </x:row>
    <x:row r="419">
      <x:c r="A419" s="20"/>
      <x:c r="B419" s="20"/>
      <x:c r="C419" s="20"/>
      <x:c r="D419" s="20"/>
      <x:c r="E419" s="20"/>
      <x:c r="F419" s="20" t="str">
        <x:f>IF(OR(D419="",E419=""),"",IF(EXACT(D419,E419),"一致","差异"))</x:f>
      </x:c>
      <x:c r="G419" s="20"/>
      <x:c r="H419" s="20"/>
      <x:c r="I419" s="20"/>
      <x:c r="J419" s="20"/>
      <x:c r="K419" s="20"/>
      <x:c r="L419" s="20"/>
      <x:c r="M419" s="20"/>
      <x:c r="N419" s="20"/>
    </x:row>
    <x:row r="420">
      <x:c r="A420" s="20"/>
      <x:c r="B420" s="20"/>
      <x:c r="C420" s="20"/>
      <x:c r="D420" s="20"/>
      <x:c r="E420" s="20"/>
      <x:c r="F420" s="20" t="str">
        <x:f>IF(OR(D420="",E420=""),"",IF(EXACT(D420,E420),"一致","差异"))</x:f>
      </x:c>
      <x:c r="G420" s="20"/>
      <x:c r="H420" s="20"/>
      <x:c r="I420" s="20"/>
      <x:c r="J420" s="20"/>
      <x:c r="K420" s="20"/>
      <x:c r="L420" s="20"/>
      <x:c r="M420" s="20"/>
      <x:c r="N420" s="20"/>
    </x:row>
    <x:row r="421">
      <x:c r="A421" s="20"/>
      <x:c r="B421" s="20"/>
      <x:c r="C421" s="20"/>
      <x:c r="D421" s="20"/>
      <x:c r="E421" s="20"/>
      <x:c r="F421" s="20" t="str">
        <x:f>IF(OR(D421="",E421=""),"",IF(EXACT(D421,E421),"一致","差异"))</x:f>
      </x:c>
      <x:c r="G421" s="20"/>
      <x:c r="H421" s="20"/>
      <x:c r="I421" s="20"/>
      <x:c r="J421" s="20"/>
      <x:c r="K421" s="20"/>
      <x:c r="L421" s="20"/>
      <x:c r="M421" s="20"/>
      <x:c r="N421" s="20"/>
    </x:row>
    <x:row r="422">
      <x:c r="A422" s="20"/>
      <x:c r="B422" s="20"/>
      <x:c r="C422" s="20"/>
      <x:c r="D422" s="20"/>
      <x:c r="E422" s="20"/>
      <x:c r="F422" s="20" t="str">
        <x:f>IF(OR(D422="",E422=""),"",IF(EXACT(D422,E422),"一致","差异"))</x:f>
      </x:c>
      <x:c r="G422" s="20"/>
      <x:c r="H422" s="20"/>
      <x:c r="I422" s="20"/>
      <x:c r="J422" s="20"/>
      <x:c r="K422" s="20"/>
      <x:c r="L422" s="20"/>
      <x:c r="M422" s="20"/>
      <x:c r="N422" s="20"/>
    </x:row>
    <x:row r="423">
      <x:c r="A423" s="20"/>
      <x:c r="B423" s="20"/>
      <x:c r="C423" s="20"/>
      <x:c r="D423" s="20"/>
      <x:c r="E423" s="20"/>
      <x:c r="F423" s="20" t="str">
        <x:f>IF(OR(D423="",E423=""),"",IF(EXACT(D423,E423),"一致","差异"))</x:f>
      </x:c>
      <x:c r="G423" s="20"/>
      <x:c r="H423" s="20"/>
      <x:c r="I423" s="20"/>
      <x:c r="J423" s="20"/>
      <x:c r="K423" s="20"/>
      <x:c r="L423" s="20"/>
      <x:c r="M423" s="20"/>
      <x:c r="N423" s="20"/>
    </x:row>
    <x:row r="424">
      <x:c r="A424" s="20"/>
      <x:c r="B424" s="20"/>
      <x:c r="C424" s="20"/>
      <x:c r="D424" s="20"/>
      <x:c r="E424" s="20"/>
      <x:c r="F424" s="20" t="str">
        <x:f>IF(OR(D424="",E424=""),"",IF(EXACT(D424,E424),"一致","差异"))</x:f>
      </x:c>
      <x:c r="G424" s="20"/>
      <x:c r="H424" s="20"/>
      <x:c r="I424" s="20"/>
      <x:c r="J424" s="20"/>
      <x:c r="K424" s="20"/>
      <x:c r="L424" s="20"/>
      <x:c r="M424" s="20"/>
      <x:c r="N424" s="20"/>
    </x:row>
    <x:row r="425">
      <x:c r="A425" s="20"/>
      <x:c r="B425" s="20"/>
      <x:c r="C425" s="20"/>
      <x:c r="D425" s="20"/>
      <x:c r="E425" s="20"/>
      <x:c r="F425" s="20" t="str">
        <x:f>IF(OR(D425="",E425=""),"",IF(EXACT(D425,E425),"一致","差异"))</x:f>
      </x:c>
      <x:c r="G425" s="20"/>
      <x:c r="H425" s="20"/>
      <x:c r="I425" s="20"/>
      <x:c r="J425" s="20"/>
      <x:c r="K425" s="20"/>
      <x:c r="L425" s="20"/>
      <x:c r="M425" s="20"/>
      <x:c r="N425" s="20"/>
    </x:row>
    <x:row r="426">
      <x:c r="A426" s="20"/>
      <x:c r="B426" s="20"/>
      <x:c r="C426" s="20"/>
      <x:c r="D426" s="20"/>
      <x:c r="E426" s="20"/>
      <x:c r="F426" s="20" t="str">
        <x:f>IF(OR(D426="",E426=""),"",IF(EXACT(D426,E426),"一致","差异"))</x:f>
      </x:c>
      <x:c r="G426" s="20"/>
      <x:c r="H426" s="20"/>
      <x:c r="I426" s="20"/>
      <x:c r="J426" s="20"/>
      <x:c r="K426" s="20"/>
      <x:c r="L426" s="20"/>
      <x:c r="M426" s="20"/>
      <x:c r="N426" s="20"/>
    </x:row>
    <x:row r="427">
      <x:c r="A427" s="20"/>
      <x:c r="B427" s="20"/>
      <x:c r="C427" s="20"/>
      <x:c r="D427" s="20"/>
      <x:c r="E427" s="20"/>
      <x:c r="F427" s="20" t="str">
        <x:f>IF(OR(D427="",E427=""),"",IF(EXACT(D427,E427),"一致","差异"))</x:f>
      </x:c>
      <x:c r="G427" s="20"/>
      <x:c r="H427" s="20"/>
      <x:c r="I427" s="20"/>
      <x:c r="J427" s="20"/>
      <x:c r="K427" s="20"/>
      <x:c r="L427" s="20"/>
      <x:c r="M427" s="20"/>
      <x:c r="N427" s="20"/>
    </x:row>
    <x:row r="428">
      <x:c r="A428" s="20"/>
      <x:c r="B428" s="20"/>
      <x:c r="C428" s="20"/>
      <x:c r="D428" s="20"/>
      <x:c r="E428" s="20"/>
      <x:c r="F428" s="20" t="str">
        <x:f>IF(OR(D428="",E428=""),"",IF(EXACT(D428,E428),"一致","差异"))</x:f>
      </x:c>
      <x:c r="G428" s="20"/>
      <x:c r="H428" s="20"/>
      <x:c r="I428" s="20"/>
      <x:c r="J428" s="20"/>
      <x:c r="K428" s="20"/>
      <x:c r="L428" s="20"/>
      <x:c r="M428" s="20"/>
      <x:c r="N428" s="20"/>
    </x:row>
    <x:row r="429">
      <x:c r="A429" s="20"/>
      <x:c r="B429" s="20"/>
      <x:c r="C429" s="20"/>
      <x:c r="D429" s="20"/>
      <x:c r="E429" s="20"/>
      <x:c r="F429" s="20" t="str">
        <x:f>IF(OR(D429="",E429=""),"",IF(EXACT(D429,E429),"一致","差异"))</x:f>
      </x:c>
      <x:c r="G429" s="20"/>
      <x:c r="H429" s="20"/>
      <x:c r="I429" s="20"/>
      <x:c r="J429" s="20"/>
      <x:c r="K429" s="20"/>
      <x:c r="L429" s="20"/>
      <x:c r="M429" s="20"/>
      <x:c r="N429" s="20"/>
    </x:row>
    <x:row r="430">
      <x:c r="A430" s="20"/>
      <x:c r="B430" s="20"/>
      <x:c r="C430" s="20"/>
      <x:c r="D430" s="20"/>
      <x:c r="E430" s="20"/>
      <x:c r="F430" s="20" t="str">
        <x:f>IF(OR(D430="",E430=""),"",IF(EXACT(D430,E430),"一致","差异"))</x:f>
      </x:c>
      <x:c r="G430" s="20"/>
      <x:c r="H430" s="20"/>
      <x:c r="I430" s="20"/>
      <x:c r="J430" s="20"/>
      <x:c r="K430" s="20"/>
      <x:c r="L430" s="20"/>
      <x:c r="M430" s="20"/>
      <x:c r="N430" s="20"/>
    </x:row>
    <x:row r="431">
      <x:c r="A431" s="20"/>
      <x:c r="B431" s="20"/>
      <x:c r="C431" s="20"/>
      <x:c r="D431" s="20"/>
      <x:c r="E431" s="20"/>
      <x:c r="F431" s="20" t="str">
        <x:f>IF(OR(D431="",E431=""),"",IF(EXACT(D431,E431),"一致","差异"))</x:f>
      </x:c>
      <x:c r="G431" s="20"/>
      <x:c r="H431" s="20"/>
      <x:c r="I431" s="20"/>
      <x:c r="J431" s="20"/>
      <x:c r="K431" s="20"/>
      <x:c r="L431" s="20"/>
      <x:c r="M431" s="20"/>
      <x:c r="N431" s="20"/>
    </x:row>
    <x:row r="432">
      <x:c r="A432" s="20"/>
      <x:c r="B432" s="20"/>
      <x:c r="C432" s="20"/>
      <x:c r="D432" s="20"/>
      <x:c r="E432" s="20"/>
      <x:c r="F432" s="20" t="str">
        <x:f>IF(OR(D432="",E432=""),"",IF(EXACT(D432,E432),"一致","差异"))</x:f>
      </x:c>
      <x:c r="G432" s="20"/>
      <x:c r="H432" s="20"/>
      <x:c r="I432" s="20"/>
      <x:c r="J432" s="20"/>
      <x:c r="K432" s="20"/>
      <x:c r="L432" s="20"/>
      <x:c r="M432" s="20"/>
      <x:c r="N432" s="20"/>
    </x:row>
    <x:row r="433">
      <x:c r="A433" s="20"/>
      <x:c r="B433" s="20"/>
      <x:c r="C433" s="20"/>
      <x:c r="D433" s="20"/>
      <x:c r="E433" s="20"/>
      <x:c r="F433" s="20" t="str">
        <x:f>IF(OR(D433="",E433=""),"",IF(EXACT(D433,E433),"一致","差异"))</x:f>
      </x:c>
      <x:c r="G433" s="20"/>
      <x:c r="H433" s="20"/>
      <x:c r="I433" s="20"/>
      <x:c r="J433" s="20"/>
      <x:c r="K433" s="20"/>
      <x:c r="L433" s="20"/>
      <x:c r="M433" s="20"/>
      <x:c r="N433" s="20"/>
    </x:row>
    <x:row r="434">
      <x:c r="A434" s="20"/>
      <x:c r="B434" s="20"/>
      <x:c r="C434" s="20"/>
      <x:c r="D434" s="20"/>
      <x:c r="E434" s="20"/>
      <x:c r="F434" s="20" t="str">
        <x:f>IF(OR(D434="",E434=""),"",IF(EXACT(D434,E434),"一致","差异"))</x:f>
      </x:c>
      <x:c r="G434" s="20"/>
      <x:c r="H434" s="20"/>
      <x:c r="I434" s="20"/>
      <x:c r="J434" s="20"/>
      <x:c r="K434" s="20"/>
      <x:c r="L434" s="20"/>
      <x:c r="M434" s="20"/>
      <x:c r="N434" s="20"/>
    </x:row>
    <x:row r="435">
      <x:c r="A435" s="20"/>
      <x:c r="B435" s="20"/>
      <x:c r="C435" s="20"/>
      <x:c r="D435" s="20"/>
      <x:c r="E435" s="20"/>
      <x:c r="F435" s="20" t="str">
        <x:f>IF(OR(D435="",E435=""),"",IF(EXACT(D435,E435),"一致","差异"))</x:f>
      </x:c>
      <x:c r="G435" s="20"/>
      <x:c r="H435" s="20"/>
      <x:c r="I435" s="20"/>
      <x:c r="J435" s="20"/>
      <x:c r="K435" s="20"/>
      <x:c r="L435" s="20"/>
      <x:c r="M435" s="20"/>
      <x:c r="N435" s="20"/>
    </x:row>
    <x:row r="436">
      <x:c r="A436" s="20"/>
      <x:c r="B436" s="20"/>
      <x:c r="C436" s="20"/>
      <x:c r="D436" s="20"/>
      <x:c r="E436" s="20"/>
      <x:c r="F436" s="20" t="str">
        <x:f>IF(OR(D436="",E436=""),"",IF(EXACT(D436,E436),"一致","差异"))</x:f>
      </x:c>
      <x:c r="G436" s="20"/>
      <x:c r="H436" s="20"/>
      <x:c r="I436" s="20"/>
      <x:c r="J436" s="20"/>
      <x:c r="K436" s="20"/>
      <x:c r="L436" s="20"/>
      <x:c r="M436" s="20"/>
      <x:c r="N436" s="20"/>
    </x:row>
    <x:row r="437">
      <x:c r="A437" s="20"/>
      <x:c r="B437" s="20"/>
      <x:c r="C437" s="20"/>
      <x:c r="D437" s="20"/>
      <x:c r="E437" s="20"/>
      <x:c r="F437" s="20" t="str">
        <x:f>IF(OR(D437="",E437=""),"",IF(EXACT(D437,E437),"一致","差异"))</x:f>
      </x:c>
      <x:c r="G437" s="20"/>
      <x:c r="H437" s="20"/>
      <x:c r="I437" s="20"/>
      <x:c r="J437" s="20"/>
      <x:c r="K437" s="20"/>
      <x:c r="L437" s="20"/>
      <x:c r="M437" s="20"/>
      <x:c r="N437" s="20"/>
    </x:row>
    <x:row r="438">
      <x:c r="A438" s="20"/>
      <x:c r="B438" s="20"/>
      <x:c r="C438" s="20"/>
      <x:c r="D438" s="20"/>
      <x:c r="E438" s="20"/>
      <x:c r="F438" s="20" t="str">
        <x:f>IF(OR(D438="",E438=""),"",IF(EXACT(D438,E438),"一致","差异"))</x:f>
      </x:c>
      <x:c r="G438" s="20"/>
      <x:c r="H438" s="20"/>
      <x:c r="I438" s="20"/>
      <x:c r="J438" s="20"/>
      <x:c r="K438" s="20"/>
      <x:c r="L438" s="20"/>
      <x:c r="M438" s="20"/>
      <x:c r="N438" s="20"/>
    </x:row>
    <x:row r="439">
      <x:c r="A439" s="20"/>
      <x:c r="B439" s="20"/>
      <x:c r="C439" s="20"/>
      <x:c r="D439" s="20"/>
      <x:c r="E439" s="20"/>
      <x:c r="F439" s="20" t="str">
        <x:f>IF(OR(D439="",E439=""),"",IF(EXACT(D439,E439),"一致","差异"))</x:f>
      </x:c>
      <x:c r="G439" s="20"/>
      <x:c r="H439" s="20"/>
      <x:c r="I439" s="20"/>
      <x:c r="J439" s="20"/>
      <x:c r="K439" s="20"/>
      <x:c r="L439" s="20"/>
      <x:c r="M439" s="20"/>
      <x:c r="N439" s="20"/>
    </x:row>
    <x:row r="440">
      <x:c r="A440" s="20"/>
      <x:c r="B440" s="20"/>
      <x:c r="C440" s="20"/>
      <x:c r="D440" s="20"/>
      <x:c r="E440" s="20"/>
      <x:c r="F440" s="20" t="str">
        <x:f>IF(OR(D440="",E440=""),"",IF(EXACT(D440,E440),"一致","差异"))</x:f>
      </x:c>
      <x:c r="G440" s="20"/>
      <x:c r="H440" s="20"/>
      <x:c r="I440" s="20"/>
      <x:c r="J440" s="20"/>
      <x:c r="K440" s="20"/>
      <x:c r="L440" s="20"/>
      <x:c r="M440" s="20"/>
      <x:c r="N440" s="20"/>
    </x:row>
    <x:row r="441">
      <x:c r="A441" s="20"/>
      <x:c r="B441" s="20"/>
      <x:c r="C441" s="20"/>
      <x:c r="D441" s="20"/>
      <x:c r="E441" s="20"/>
      <x:c r="F441" s="20" t="str">
        <x:f>IF(OR(D441="",E441=""),"",IF(EXACT(D441,E441),"一致","差异"))</x:f>
      </x:c>
      <x:c r="G441" s="20"/>
      <x:c r="H441" s="20"/>
      <x:c r="I441" s="20"/>
      <x:c r="J441" s="20"/>
      <x:c r="K441" s="20"/>
      <x:c r="L441" s="20"/>
      <x:c r="M441" s="20"/>
      <x:c r="N441" s="20"/>
    </x:row>
    <x:row r="442">
      <x:c r="A442" s="20"/>
      <x:c r="B442" s="20"/>
      <x:c r="C442" s="20"/>
      <x:c r="D442" s="20"/>
      <x:c r="E442" s="20"/>
      <x:c r="F442" s="20" t="str">
        <x:f>IF(OR(D442="",E442=""),"",IF(EXACT(D442,E442),"一致","差异"))</x:f>
      </x:c>
      <x:c r="G442" s="20"/>
      <x:c r="H442" s="20"/>
      <x:c r="I442" s="20"/>
      <x:c r="J442" s="20"/>
      <x:c r="K442" s="20"/>
      <x:c r="L442" s="20"/>
      <x:c r="M442" s="20"/>
      <x:c r="N442" s="20"/>
    </x:row>
    <x:row r="443">
      <x:c r="A443" s="20"/>
      <x:c r="B443" s="20"/>
      <x:c r="C443" s="20"/>
      <x:c r="D443" s="20"/>
      <x:c r="E443" s="20"/>
      <x:c r="F443" s="20" t="str">
        <x:f>IF(OR(D443="",E443=""),"",IF(EXACT(D443,E443),"一致","差异"))</x:f>
      </x:c>
      <x:c r="G443" s="20"/>
      <x:c r="H443" s="20"/>
      <x:c r="I443" s="20"/>
      <x:c r="J443" s="20"/>
      <x:c r="K443" s="20"/>
      <x:c r="L443" s="20"/>
      <x:c r="M443" s="20"/>
      <x:c r="N443" s="20"/>
    </x:row>
    <x:row r="444">
      <x:c r="A444" s="20"/>
      <x:c r="B444" s="20"/>
      <x:c r="C444" s="20"/>
      <x:c r="D444" s="20"/>
      <x:c r="E444" s="20"/>
      <x:c r="F444" s="20" t="str">
        <x:f>IF(OR(D444="",E444=""),"",IF(EXACT(D444,E444),"一致","差异"))</x:f>
      </x:c>
      <x:c r="G444" s="20"/>
      <x:c r="H444" s="20"/>
      <x:c r="I444" s="20"/>
      <x:c r="J444" s="20"/>
      <x:c r="K444" s="20"/>
      <x:c r="L444" s="20"/>
      <x:c r="M444" s="20"/>
      <x:c r="N444" s="20"/>
    </x:row>
    <x:row r="445">
      <x:c r="A445" s="20"/>
      <x:c r="B445" s="20"/>
      <x:c r="C445" s="20"/>
      <x:c r="D445" s="20"/>
      <x:c r="E445" s="20"/>
      <x:c r="F445" s="20" t="str">
        <x:f>IF(OR(D445="",E445=""),"",IF(EXACT(D445,E445),"一致","差异"))</x:f>
      </x:c>
      <x:c r="G445" s="20"/>
      <x:c r="H445" s="20"/>
      <x:c r="I445" s="20"/>
      <x:c r="J445" s="20"/>
      <x:c r="K445" s="20"/>
      <x:c r="L445" s="20"/>
      <x:c r="M445" s="20"/>
      <x:c r="N445" s="20"/>
    </x:row>
    <x:row r="446">
      <x:c r="A446" s="20"/>
      <x:c r="B446" s="20"/>
      <x:c r="C446" s="20"/>
      <x:c r="D446" s="20"/>
      <x:c r="E446" s="20"/>
      <x:c r="F446" s="20" t="str">
        <x:f>IF(OR(D446="",E446=""),"",IF(EXACT(D446,E446),"一致","差异"))</x:f>
      </x:c>
      <x:c r="G446" s="20"/>
      <x:c r="H446" s="20"/>
      <x:c r="I446" s="20"/>
      <x:c r="J446" s="20"/>
      <x:c r="K446" s="20"/>
      <x:c r="L446" s="20"/>
      <x:c r="M446" s="20"/>
      <x:c r="N446" s="20"/>
    </x:row>
    <x:row r="447">
      <x:c r="A447" s="20"/>
      <x:c r="B447" s="20"/>
      <x:c r="C447" s="20"/>
      <x:c r="D447" s="20"/>
      <x:c r="E447" s="20"/>
      <x:c r="F447" s="20" t="str">
        <x:f>IF(OR(D447="",E447=""),"",IF(EXACT(D447,E447),"一致","差异"))</x:f>
      </x:c>
      <x:c r="G447" s="20"/>
      <x:c r="H447" s="20"/>
      <x:c r="I447" s="20"/>
      <x:c r="J447" s="20"/>
      <x:c r="K447" s="20"/>
      <x:c r="L447" s="20"/>
      <x:c r="M447" s="20"/>
      <x:c r="N447" s="20"/>
    </x:row>
    <x:row r="448">
      <x:c r="A448" s="20"/>
      <x:c r="B448" s="20"/>
      <x:c r="C448" s="20"/>
      <x:c r="D448" s="20"/>
      <x:c r="E448" s="20"/>
      <x:c r="F448" s="20" t="str">
        <x:f>IF(OR(D448="",E448=""),"",IF(EXACT(D448,E448),"一致","差异"))</x:f>
      </x:c>
      <x:c r="G448" s="20"/>
      <x:c r="H448" s="20"/>
      <x:c r="I448" s="20"/>
      <x:c r="J448" s="20"/>
      <x:c r="K448" s="20"/>
      <x:c r="L448" s="20"/>
      <x:c r="M448" s="20"/>
      <x:c r="N448" s="20"/>
    </x:row>
    <x:row r="449">
      <x:c r="A449" s="20"/>
      <x:c r="B449" s="20"/>
      <x:c r="C449" s="20"/>
      <x:c r="D449" s="20"/>
      <x:c r="E449" s="20"/>
      <x:c r="F449" s="20" t="str">
        <x:f>IF(OR(D449="",E449=""),"",IF(EXACT(D449,E449),"一致","差异"))</x:f>
      </x:c>
      <x:c r="G449" s="20"/>
      <x:c r="H449" s="20"/>
      <x:c r="I449" s="20"/>
      <x:c r="J449" s="20"/>
      <x:c r="K449" s="20"/>
      <x:c r="L449" s="20"/>
      <x:c r="M449" s="20"/>
      <x:c r="N449" s="20"/>
    </x:row>
    <x:row r="450">
      <x:c r="A450" s="20"/>
      <x:c r="B450" s="20"/>
      <x:c r="C450" s="20"/>
      <x:c r="D450" s="20"/>
      <x:c r="E450" s="20"/>
      <x:c r="F450" s="20" t="str">
        <x:f>IF(OR(D450="",E450=""),"",IF(EXACT(D450,E450),"一致","差异"))</x:f>
      </x:c>
      <x:c r="G450" s="20"/>
      <x:c r="H450" s="20"/>
      <x:c r="I450" s="20"/>
      <x:c r="J450" s="20"/>
      <x:c r="K450" s="20"/>
      <x:c r="L450" s="20"/>
      <x:c r="M450" s="20"/>
      <x:c r="N450" s="20"/>
    </x:row>
    <x:row r="451">
      <x:c r="A451" s="20"/>
      <x:c r="B451" s="20"/>
      <x:c r="C451" s="20"/>
      <x:c r="D451" s="20"/>
      <x:c r="E451" s="20"/>
      <x:c r="F451" s="20" t="str">
        <x:f>IF(OR(D451="",E451=""),"",IF(EXACT(D451,E451),"一致","差异"))</x:f>
      </x:c>
      <x:c r="G451" s="20"/>
      <x:c r="H451" s="20"/>
      <x:c r="I451" s="20"/>
      <x:c r="J451" s="20"/>
      <x:c r="K451" s="20"/>
      <x:c r="L451" s="20"/>
      <x:c r="M451" s="20"/>
      <x:c r="N451" s="20"/>
    </x:row>
    <x:row r="452">
      <x:c r="A452" s="20"/>
      <x:c r="B452" s="20"/>
      <x:c r="C452" s="20"/>
      <x:c r="D452" s="20"/>
      <x:c r="E452" s="20"/>
      <x:c r="F452" s="20" t="str">
        <x:f>IF(OR(D452="",E452=""),"",IF(EXACT(D452,E452),"一致","差异"))</x:f>
      </x:c>
      <x:c r="G452" s="20"/>
      <x:c r="H452" s="20"/>
      <x:c r="I452" s="20"/>
      <x:c r="J452" s="20"/>
      <x:c r="K452" s="20"/>
      <x:c r="L452" s="20"/>
      <x:c r="M452" s="20"/>
      <x:c r="N452" s="20"/>
    </x:row>
    <x:row r="453">
      <x:c r="A453" s="20"/>
      <x:c r="B453" s="20"/>
      <x:c r="C453" s="20"/>
      <x:c r="D453" s="20"/>
      <x:c r="E453" s="20"/>
      <x:c r="F453" s="20" t="str">
        <x:f>IF(OR(D453="",E453=""),"",IF(EXACT(D453,E453),"一致","差异"))</x:f>
      </x:c>
      <x:c r="G453" s="20"/>
      <x:c r="H453" s="20"/>
      <x:c r="I453" s="20"/>
      <x:c r="J453" s="20"/>
      <x:c r="K453" s="20"/>
      <x:c r="L453" s="20"/>
      <x:c r="M453" s="20"/>
      <x:c r="N453" s="20"/>
    </x:row>
    <x:row r="454">
      <x:c r="A454" s="20"/>
      <x:c r="B454" s="20"/>
      <x:c r="C454" s="20"/>
      <x:c r="D454" s="20"/>
      <x:c r="E454" s="20"/>
      <x:c r="F454" s="20" t="str">
        <x:f>IF(OR(D454="",E454=""),"",IF(EXACT(D454,E454),"一致","差异"))</x:f>
      </x:c>
      <x:c r="G454" s="20"/>
      <x:c r="H454" s="20"/>
      <x:c r="I454" s="20"/>
      <x:c r="J454" s="20"/>
      <x:c r="K454" s="20"/>
      <x:c r="L454" s="20"/>
      <x:c r="M454" s="20"/>
      <x:c r="N454" s="20"/>
    </x:row>
    <x:row r="455">
      <x:c r="A455" s="20"/>
      <x:c r="B455" s="20"/>
      <x:c r="C455" s="20"/>
      <x:c r="D455" s="20"/>
      <x:c r="E455" s="20"/>
      <x:c r="F455" s="20" t="str">
        <x:f>IF(OR(D455="",E455=""),"",IF(EXACT(D455,E455),"一致","差异"))</x:f>
      </x:c>
      <x:c r="G455" s="20"/>
      <x:c r="H455" s="20"/>
      <x:c r="I455" s="20"/>
      <x:c r="J455" s="20"/>
      <x:c r="K455" s="20"/>
      <x:c r="L455" s="20"/>
      <x:c r="M455" s="20"/>
      <x:c r="N455" s="20"/>
    </x:row>
    <x:row r="456">
      <x:c r="A456" s="20"/>
      <x:c r="B456" s="20"/>
      <x:c r="C456" s="20"/>
      <x:c r="D456" s="20"/>
      <x:c r="E456" s="20"/>
      <x:c r="F456" s="20" t="str">
        <x:f>IF(OR(D456="",E456=""),"",IF(EXACT(D456,E456),"一致","差异"))</x:f>
      </x:c>
      <x:c r="G456" s="20"/>
      <x:c r="H456" s="20"/>
      <x:c r="I456" s="20"/>
      <x:c r="J456" s="20"/>
      <x:c r="K456" s="20"/>
      <x:c r="L456" s="20"/>
      <x:c r="M456" s="20"/>
      <x:c r="N456" s="20"/>
    </x:row>
    <x:row r="457">
      <x:c r="A457" s="20"/>
      <x:c r="B457" s="20"/>
      <x:c r="C457" s="20"/>
      <x:c r="D457" s="20"/>
      <x:c r="E457" s="20"/>
      <x:c r="F457" s="20" t="str">
        <x:f>IF(OR(D457="",E457=""),"",IF(EXACT(D457,E457),"一致","差异"))</x:f>
      </x:c>
      <x:c r="G457" s="20"/>
      <x:c r="H457" s="20"/>
      <x:c r="I457" s="20"/>
      <x:c r="J457" s="20"/>
      <x:c r="K457" s="20"/>
      <x:c r="L457" s="20"/>
      <x:c r="M457" s="20"/>
      <x:c r="N457" s="20"/>
    </x:row>
    <x:row r="458">
      <x:c r="A458" s="20"/>
      <x:c r="B458" s="20"/>
      <x:c r="C458" s="20"/>
      <x:c r="D458" s="20"/>
      <x:c r="E458" s="20"/>
      <x:c r="F458" s="20" t="str">
        <x:f>IF(OR(D458="",E458=""),"",IF(EXACT(D458,E458),"一致","差异"))</x:f>
      </x:c>
      <x:c r="G458" s="20"/>
      <x:c r="H458" s="20"/>
      <x:c r="I458" s="20"/>
      <x:c r="J458" s="20"/>
      <x:c r="K458" s="20"/>
      <x:c r="L458" s="20"/>
      <x:c r="M458" s="20"/>
      <x:c r="N458" s="20"/>
    </x:row>
    <x:row r="459">
      <x:c r="A459" s="20"/>
      <x:c r="B459" s="20"/>
      <x:c r="C459" s="20"/>
      <x:c r="D459" s="20"/>
      <x:c r="E459" s="20"/>
      <x:c r="F459" s="20" t="str">
        <x:f>IF(OR(D459="",E459=""),"",IF(EXACT(D459,E459),"一致","差异"))</x:f>
      </x:c>
      <x:c r="G459" s="20"/>
      <x:c r="H459" s="20"/>
      <x:c r="I459" s="20"/>
      <x:c r="J459" s="20"/>
      <x:c r="K459" s="20"/>
      <x:c r="L459" s="20"/>
      <x:c r="M459" s="20"/>
      <x:c r="N459" s="20"/>
    </x:row>
    <x:row r="460">
      <x:c r="A460" s="20"/>
      <x:c r="B460" s="20"/>
      <x:c r="C460" s="20"/>
      <x:c r="D460" s="20"/>
      <x:c r="E460" s="20"/>
      <x:c r="F460" s="20" t="str">
        <x:f>IF(OR(D460="",E460=""),"",IF(EXACT(D460,E460),"一致","差异"))</x:f>
      </x:c>
      <x:c r="G460" s="20"/>
      <x:c r="H460" s="20"/>
      <x:c r="I460" s="20"/>
      <x:c r="J460" s="20"/>
      <x:c r="K460" s="20"/>
      <x:c r="L460" s="20"/>
      <x:c r="M460" s="20"/>
      <x:c r="N460" s="20"/>
    </x:row>
    <x:row r="461">
      <x:c r="A461" s="20"/>
      <x:c r="B461" s="20"/>
      <x:c r="C461" s="20"/>
      <x:c r="D461" s="20"/>
      <x:c r="E461" s="20"/>
      <x:c r="F461" s="20" t="str">
        <x:f>IF(OR(D461="",E461=""),"",IF(EXACT(D461,E461),"一致","差异"))</x:f>
      </x:c>
      <x:c r="G461" s="20"/>
      <x:c r="H461" s="20"/>
      <x:c r="I461" s="20"/>
      <x:c r="J461" s="20"/>
      <x:c r="K461" s="20"/>
      <x:c r="L461" s="20"/>
      <x:c r="M461" s="20"/>
      <x:c r="N461" s="20"/>
    </x:row>
    <x:row r="462">
      <x:c r="A462" s="20"/>
      <x:c r="B462" s="20"/>
      <x:c r="C462" s="20"/>
      <x:c r="D462" s="20"/>
      <x:c r="E462" s="20"/>
      <x:c r="F462" s="20" t="str">
        <x:f>IF(OR(D462="",E462=""),"",IF(EXACT(D462,E462),"一致","差异"))</x:f>
      </x:c>
      <x:c r="G462" s="20"/>
      <x:c r="H462" s="20"/>
      <x:c r="I462" s="20"/>
      <x:c r="J462" s="20"/>
      <x:c r="K462" s="20"/>
      <x:c r="L462" s="20"/>
      <x:c r="M462" s="20"/>
      <x:c r="N462" s="20"/>
    </x:row>
    <x:row r="463">
      <x:c r="A463" s="20"/>
      <x:c r="B463" s="20"/>
      <x:c r="C463" s="20"/>
      <x:c r="D463" s="20"/>
      <x:c r="E463" s="20"/>
      <x:c r="F463" s="20" t="str">
        <x:f>IF(OR(D463="",E463=""),"",IF(EXACT(D463,E463),"一致","差异"))</x:f>
      </x:c>
      <x:c r="G463" s="20"/>
      <x:c r="H463" s="20"/>
      <x:c r="I463" s="20"/>
      <x:c r="J463" s="20"/>
      <x:c r="K463" s="20"/>
      <x:c r="L463" s="20"/>
      <x:c r="M463" s="20"/>
      <x:c r="N463" s="20"/>
    </x:row>
    <x:row r="464">
      <x:c r="A464" s="20"/>
      <x:c r="B464" s="20"/>
      <x:c r="C464" s="20"/>
      <x:c r="D464" s="20"/>
      <x:c r="E464" s="20"/>
      <x:c r="F464" s="20" t="str">
        <x:f>IF(OR(D464="",E464=""),"",IF(EXACT(D464,E464),"一致","差异"))</x:f>
      </x:c>
      <x:c r="G464" s="20"/>
      <x:c r="H464" s="20"/>
      <x:c r="I464" s="20"/>
      <x:c r="J464" s="20"/>
      <x:c r="K464" s="20"/>
      <x:c r="L464" s="20"/>
      <x:c r="M464" s="20"/>
      <x:c r="N464" s="20"/>
    </x:row>
    <x:row r="465">
      <x:c r="A465" s="20"/>
      <x:c r="B465" s="20"/>
      <x:c r="C465" s="20"/>
      <x:c r="D465" s="20"/>
      <x:c r="E465" s="20"/>
      <x:c r="F465" s="20" t="str">
        <x:f>IF(OR(D465="",E465=""),"",IF(EXACT(D465,E465),"一致","差异"))</x:f>
      </x:c>
      <x:c r="G465" s="20"/>
      <x:c r="H465" s="20"/>
      <x:c r="I465" s="20"/>
      <x:c r="J465" s="20"/>
      <x:c r="K465" s="20"/>
      <x:c r="L465" s="20"/>
      <x:c r="M465" s="20"/>
      <x:c r="N465" s="20"/>
    </x:row>
    <x:row r="466">
      <x:c r="A466" s="20"/>
      <x:c r="B466" s="20"/>
      <x:c r="C466" s="20"/>
      <x:c r="D466" s="20"/>
      <x:c r="E466" s="20"/>
      <x:c r="F466" s="20" t="str">
        <x:f>IF(OR(D466="",E466=""),"",IF(EXACT(D466,E466),"一致","差异"))</x:f>
      </x:c>
      <x:c r="G466" s="20"/>
      <x:c r="H466" s="20"/>
      <x:c r="I466" s="20"/>
      <x:c r="J466" s="20"/>
      <x:c r="K466" s="20"/>
      <x:c r="L466" s="20"/>
      <x:c r="M466" s="20"/>
      <x:c r="N466" s="20"/>
    </x:row>
    <x:row r="467">
      <x:c r="A467" s="20"/>
      <x:c r="B467" s="20"/>
      <x:c r="C467" s="20"/>
      <x:c r="D467" s="20"/>
      <x:c r="E467" s="20"/>
      <x:c r="F467" s="20" t="str">
        <x:f>IF(OR(D467="",E467=""),"",IF(EXACT(D467,E467),"一致","差异"))</x:f>
      </x:c>
      <x:c r="G467" s="20"/>
      <x:c r="H467" s="20"/>
      <x:c r="I467" s="20"/>
      <x:c r="J467" s="20"/>
      <x:c r="K467" s="20"/>
      <x:c r="L467" s="20"/>
      <x:c r="M467" s="20"/>
      <x:c r="N467" s="20"/>
    </x:row>
    <x:row r="468">
      <x:c r="A468" s="20"/>
      <x:c r="B468" s="20"/>
      <x:c r="C468" s="20"/>
      <x:c r="D468" s="20"/>
      <x:c r="E468" s="20"/>
      <x:c r="F468" s="20" t="str">
        <x:f>IF(OR(D468="",E468=""),"",IF(EXACT(D468,E468),"一致","差异"))</x:f>
      </x:c>
      <x:c r="G468" s="20"/>
      <x:c r="H468" s="20"/>
      <x:c r="I468" s="20"/>
      <x:c r="J468" s="20"/>
      <x:c r="K468" s="20"/>
      <x:c r="L468" s="20"/>
      <x:c r="M468" s="20"/>
      <x:c r="N468" s="20"/>
    </x:row>
    <x:row r="469">
      <x:c r="A469" s="20"/>
      <x:c r="B469" s="20"/>
      <x:c r="C469" s="20"/>
      <x:c r="D469" s="20"/>
      <x:c r="E469" s="20"/>
      <x:c r="F469" s="20" t="str">
        <x:f>IF(OR(D469="",E469=""),"",IF(EXACT(D469,E469),"一致","差异"))</x:f>
      </x:c>
      <x:c r="G469" s="20"/>
      <x:c r="H469" s="20"/>
      <x:c r="I469" s="20"/>
      <x:c r="J469" s="20"/>
      <x:c r="K469" s="20"/>
      <x:c r="L469" s="20"/>
      <x:c r="M469" s="20"/>
      <x:c r="N469" s="20"/>
    </x:row>
    <x:row r="470">
      <x:c r="A470" s="20"/>
      <x:c r="B470" s="20"/>
      <x:c r="C470" s="20"/>
      <x:c r="D470" s="20"/>
      <x:c r="E470" s="20"/>
      <x:c r="F470" s="20" t="str">
        <x:f>IF(OR(D470="",E470=""),"",IF(EXACT(D470,E470),"一致","差异"))</x:f>
      </x:c>
      <x:c r="G470" s="20"/>
      <x:c r="H470" s="20"/>
      <x:c r="I470" s="20"/>
      <x:c r="J470" s="20"/>
      <x:c r="K470" s="20"/>
      <x:c r="L470" s="20"/>
      <x:c r="M470" s="20"/>
      <x:c r="N470" s="20"/>
    </x:row>
    <x:row r="471">
      <x:c r="A471" s="20"/>
      <x:c r="B471" s="20"/>
      <x:c r="C471" s="20"/>
      <x:c r="D471" s="20"/>
      <x:c r="E471" s="20"/>
      <x:c r="F471" s="20" t="str">
        <x:f>IF(OR(D471="",E471=""),"",IF(EXACT(D471,E471),"一致","差异"))</x:f>
      </x:c>
      <x:c r="G471" s="20"/>
      <x:c r="H471" s="20"/>
      <x:c r="I471" s="20"/>
      <x:c r="J471" s="20"/>
      <x:c r="K471" s="20"/>
      <x:c r="L471" s="20"/>
      <x:c r="M471" s="20"/>
      <x:c r="N471" s="20"/>
    </x:row>
    <x:row r="472">
      <x:c r="A472" s="20"/>
      <x:c r="B472" s="20"/>
      <x:c r="C472" s="20"/>
      <x:c r="D472" s="20"/>
      <x:c r="E472" s="20"/>
      <x:c r="F472" s="20" t="str">
        <x:f>IF(OR(D472="",E472=""),"",IF(EXACT(D472,E472),"一致","差异"))</x:f>
      </x:c>
      <x:c r="G472" s="20"/>
      <x:c r="H472" s="20"/>
      <x:c r="I472" s="20"/>
      <x:c r="J472" s="20"/>
      <x:c r="K472" s="20"/>
      <x:c r="L472" s="20"/>
      <x:c r="M472" s="20"/>
      <x:c r="N472" s="20"/>
    </x:row>
    <x:row r="473">
      <x:c r="A473" s="20"/>
      <x:c r="B473" s="20"/>
      <x:c r="C473" s="20"/>
      <x:c r="D473" s="20"/>
      <x:c r="E473" s="20"/>
      <x:c r="F473" s="20" t="str">
        <x:f>IF(OR(D473="",E473=""),"",IF(EXACT(D473,E473),"一致","差异"))</x:f>
      </x:c>
      <x:c r="G473" s="20"/>
      <x:c r="H473" s="20"/>
      <x:c r="I473" s="20"/>
      <x:c r="J473" s="20"/>
      <x:c r="K473" s="20"/>
      <x:c r="L473" s="20"/>
      <x:c r="M473" s="20"/>
      <x:c r="N473" s="20"/>
    </x:row>
    <x:row r="474">
      <x:c r="A474" s="20"/>
      <x:c r="B474" s="20"/>
      <x:c r="C474" s="20"/>
      <x:c r="D474" s="20"/>
      <x:c r="E474" s="20"/>
      <x:c r="F474" s="20" t="str">
        <x:f>IF(OR(D474="",E474=""),"",IF(EXACT(D474,E474),"一致","差异"))</x:f>
      </x:c>
      <x:c r="G474" s="20"/>
      <x:c r="H474" s="20"/>
      <x:c r="I474" s="20"/>
      <x:c r="J474" s="20"/>
      <x:c r="K474" s="20"/>
      <x:c r="L474" s="20"/>
      <x:c r="M474" s="20"/>
      <x:c r="N474" s="20"/>
    </x:row>
    <x:row r="475">
      <x:c r="A475" s="20"/>
      <x:c r="B475" s="20"/>
      <x:c r="C475" s="20"/>
      <x:c r="D475" s="20"/>
      <x:c r="E475" s="20"/>
      <x:c r="F475" s="20" t="str">
        <x:f>IF(OR(D475="",E475=""),"",IF(EXACT(D475,E475),"一致","差异"))</x:f>
      </x:c>
      <x:c r="G475" s="20"/>
      <x:c r="H475" s="20"/>
      <x:c r="I475" s="20"/>
      <x:c r="J475" s="20"/>
      <x:c r="K475" s="20"/>
      <x:c r="L475" s="20"/>
      <x:c r="M475" s="20"/>
      <x:c r="N475" s="20"/>
    </x:row>
    <x:row r="476">
      <x:c r="A476" s="20"/>
      <x:c r="B476" s="20"/>
      <x:c r="C476" s="20"/>
      <x:c r="D476" s="20"/>
      <x:c r="E476" s="20"/>
      <x:c r="F476" s="20" t="str">
        <x:f>IF(OR(D476="",E476=""),"",IF(EXACT(D476,E476),"一致","差异"))</x:f>
      </x:c>
      <x:c r="G476" s="20"/>
      <x:c r="H476" s="20"/>
      <x:c r="I476" s="20"/>
      <x:c r="J476" s="20"/>
      <x:c r="K476" s="20"/>
      <x:c r="L476" s="20"/>
      <x:c r="M476" s="20"/>
      <x:c r="N476" s="20"/>
    </x:row>
    <x:row r="477">
      <x:c r="A477" s="20"/>
      <x:c r="B477" s="20"/>
      <x:c r="C477" s="20"/>
      <x:c r="D477" s="20"/>
      <x:c r="E477" s="20"/>
      <x:c r="F477" s="20" t="str">
        <x:f>IF(OR(D477="",E477=""),"",IF(EXACT(D477,E477),"一致","差异"))</x:f>
      </x:c>
      <x:c r="G477" s="20"/>
      <x:c r="H477" s="20"/>
      <x:c r="I477" s="20"/>
      <x:c r="J477" s="20"/>
      <x:c r="K477" s="20"/>
      <x:c r="L477" s="20"/>
      <x:c r="M477" s="20"/>
      <x:c r="N477" s="20"/>
    </x:row>
    <x:row r="478">
      <x:c r="A478" s="20"/>
      <x:c r="B478" s="20"/>
      <x:c r="C478" s="20"/>
      <x:c r="D478" s="20"/>
      <x:c r="E478" s="20"/>
      <x:c r="F478" s="20" t="str">
        <x:f>IF(OR(D478="",E478=""),"",IF(EXACT(D478,E478),"一致","差异"))</x:f>
      </x:c>
      <x:c r="G478" s="20"/>
      <x:c r="H478" s="20"/>
      <x:c r="I478" s="20"/>
      <x:c r="J478" s="20"/>
      <x:c r="K478" s="20"/>
      <x:c r="L478" s="20"/>
      <x:c r="M478" s="20"/>
      <x:c r="N478" s="20"/>
    </x:row>
    <x:row r="479">
      <x:c r="A479" s="20"/>
      <x:c r="B479" s="20"/>
      <x:c r="C479" s="20"/>
      <x:c r="D479" s="20"/>
      <x:c r="E479" s="20"/>
      <x:c r="F479" s="20" t="str">
        <x:f>IF(OR(D479="",E479=""),"",IF(EXACT(D479,E479),"一致","差异"))</x:f>
      </x:c>
      <x:c r="G479" s="20"/>
      <x:c r="H479" s="20"/>
      <x:c r="I479" s="20"/>
      <x:c r="J479" s="20"/>
      <x:c r="K479" s="20"/>
      <x:c r="L479" s="20"/>
      <x:c r="M479" s="20"/>
      <x:c r="N479" s="20"/>
    </x:row>
    <x:row r="480">
      <x:c r="A480" s="20"/>
      <x:c r="B480" s="20"/>
      <x:c r="C480" s="20"/>
      <x:c r="D480" s="20"/>
      <x:c r="E480" s="20"/>
      <x:c r="F480" s="20" t="str">
        <x:f>IF(OR(D480="",E480=""),"",IF(EXACT(D480,E480),"一致","差异"))</x:f>
      </x:c>
      <x:c r="G480" s="20"/>
      <x:c r="H480" s="20"/>
      <x:c r="I480" s="20"/>
      <x:c r="J480" s="20"/>
      <x:c r="K480" s="20"/>
      <x:c r="L480" s="20"/>
      <x:c r="M480" s="20"/>
      <x:c r="N480" s="20"/>
    </x:row>
    <x:row r="481">
      <x:c r="A481" s="20"/>
      <x:c r="B481" s="20"/>
      <x:c r="C481" s="20"/>
      <x:c r="D481" s="20"/>
      <x:c r="E481" s="20"/>
      <x:c r="F481" s="20" t="str">
        <x:f>IF(OR(D481="",E481=""),"",IF(EXACT(D481,E481),"一致","差异"))</x:f>
      </x:c>
      <x:c r="G481" s="20"/>
      <x:c r="H481" s="20"/>
      <x:c r="I481" s="20"/>
      <x:c r="J481" s="20"/>
      <x:c r="K481" s="20"/>
      <x:c r="L481" s="20"/>
      <x:c r="M481" s="20"/>
      <x:c r="N481" s="20"/>
    </x:row>
    <x:row r="482">
      <x:c r="A482" s="20"/>
      <x:c r="B482" s="20"/>
      <x:c r="C482" s="20"/>
      <x:c r="D482" s="20"/>
      <x:c r="E482" s="20"/>
      <x:c r="F482" s="20" t="str">
        <x:f>IF(OR(D482="",E482=""),"",IF(EXACT(D482,E482),"一致","差异"))</x:f>
      </x:c>
      <x:c r="G482" s="20"/>
      <x:c r="H482" s="20"/>
      <x:c r="I482" s="20"/>
      <x:c r="J482" s="20"/>
      <x:c r="K482" s="20"/>
      <x:c r="L482" s="20"/>
      <x:c r="M482" s="20"/>
      <x:c r="N482" s="20"/>
    </x:row>
    <x:row r="483">
      <x:c r="A483" s="20"/>
      <x:c r="B483" s="20"/>
      <x:c r="C483" s="20"/>
      <x:c r="D483" s="20"/>
      <x:c r="E483" s="20"/>
      <x:c r="F483" s="20" t="str">
        <x:f>IF(OR(D483="",E483=""),"",IF(EXACT(D483,E483),"一致","差异"))</x:f>
      </x:c>
      <x:c r="G483" s="20"/>
      <x:c r="H483" s="20"/>
      <x:c r="I483" s="20"/>
      <x:c r="J483" s="20"/>
      <x:c r="K483" s="20"/>
      <x:c r="L483" s="20"/>
      <x:c r="M483" s="20"/>
      <x:c r="N483" s="20"/>
    </x:row>
    <x:row r="484">
      <x:c r="A484" s="20"/>
      <x:c r="B484" s="20"/>
      <x:c r="C484" s="20"/>
      <x:c r="D484" s="20"/>
      <x:c r="E484" s="20"/>
      <x:c r="F484" s="20" t="str">
        <x:f>IF(OR(D484="",E484=""),"",IF(EXACT(D484,E484),"一致","差异"))</x:f>
      </x:c>
      <x:c r="G484" s="20"/>
      <x:c r="H484" s="20"/>
      <x:c r="I484" s="20"/>
      <x:c r="J484" s="20"/>
      <x:c r="K484" s="20"/>
      <x:c r="L484" s="20"/>
      <x:c r="M484" s="20"/>
      <x:c r="N484" s="20"/>
    </x:row>
    <x:row r="485">
      <x:c r="A485" s="20"/>
      <x:c r="B485" s="20"/>
      <x:c r="C485" s="20"/>
      <x:c r="D485" s="20"/>
      <x:c r="E485" s="20"/>
      <x:c r="F485" s="20" t="str">
        <x:f>IF(OR(D485="",E485=""),"",IF(EXACT(D485,E485),"一致","差异"))</x:f>
      </x:c>
      <x:c r="G485" s="20"/>
      <x:c r="H485" s="20"/>
      <x:c r="I485" s="20"/>
      <x:c r="J485" s="20"/>
      <x:c r="K485" s="20"/>
      <x:c r="L485" s="20"/>
      <x:c r="M485" s="20"/>
      <x:c r="N485" s="20"/>
    </x:row>
    <x:row r="486">
      <x:c r="A486" s="20"/>
      <x:c r="B486" s="20"/>
      <x:c r="C486" s="20"/>
      <x:c r="D486" s="20"/>
      <x:c r="E486" s="20"/>
      <x:c r="F486" s="20" t="str">
        <x:f>IF(OR(D486="",E486=""),"",IF(EXACT(D486,E486),"一致","差异"))</x:f>
      </x:c>
      <x:c r="G486" s="20"/>
      <x:c r="H486" s="20"/>
      <x:c r="I486" s="20"/>
      <x:c r="J486" s="20"/>
      <x:c r="K486" s="20"/>
      <x:c r="L486" s="20"/>
      <x:c r="M486" s="20"/>
      <x:c r="N486" s="20"/>
    </x:row>
    <x:row r="487">
      <x:c r="A487" s="20"/>
      <x:c r="B487" s="20"/>
      <x:c r="C487" s="20"/>
      <x:c r="D487" s="20"/>
      <x:c r="E487" s="20"/>
      <x:c r="F487" s="20" t="str">
        <x:f>IF(OR(D487="",E487=""),"",IF(EXACT(D487,E487),"一致","差异"))</x:f>
      </x:c>
      <x:c r="G487" s="20"/>
      <x:c r="H487" s="20"/>
      <x:c r="I487" s="20"/>
      <x:c r="J487" s="20"/>
      <x:c r="K487" s="20"/>
      <x:c r="L487" s="20"/>
      <x:c r="M487" s="20"/>
      <x:c r="N487" s="20"/>
    </x:row>
    <x:row r="488">
      <x:c r="A488" s="20"/>
      <x:c r="B488" s="20"/>
      <x:c r="C488" s="20"/>
      <x:c r="D488" s="20"/>
      <x:c r="E488" s="20"/>
      <x:c r="F488" s="20" t="str">
        <x:f>IF(OR(D488="",E488=""),"",IF(EXACT(D488,E488),"一致","差异"))</x:f>
      </x:c>
      <x:c r="G488" s="20"/>
      <x:c r="H488" s="20"/>
      <x:c r="I488" s="20"/>
      <x:c r="J488" s="20"/>
      <x:c r="K488" s="20"/>
      <x:c r="L488" s="20"/>
      <x:c r="M488" s="20"/>
      <x:c r="N488" s="20"/>
    </x:row>
    <x:row r="489">
      <x:c r="A489" s="20"/>
      <x:c r="B489" s="20"/>
      <x:c r="C489" s="20"/>
      <x:c r="D489" s="20"/>
      <x:c r="E489" s="20"/>
      <x:c r="F489" s="20" t="str">
        <x:f>IF(OR(D489="",E489=""),"",IF(EXACT(D489,E489),"一致","差异"))</x:f>
      </x:c>
      <x:c r="G489" s="20"/>
      <x:c r="H489" s="20"/>
      <x:c r="I489" s="20"/>
      <x:c r="J489" s="20"/>
      <x:c r="K489" s="20"/>
      <x:c r="L489" s="20"/>
      <x:c r="M489" s="20"/>
      <x:c r="N489" s="20"/>
    </x:row>
    <x:row r="490">
      <x:c r="A490" s="20"/>
      <x:c r="B490" s="20"/>
      <x:c r="C490" s="20"/>
      <x:c r="D490" s="20"/>
      <x:c r="E490" s="20"/>
      <x:c r="F490" s="20" t="str">
        <x:f>IF(OR(D490="",E490=""),"",IF(EXACT(D490,E490),"一致","差异"))</x:f>
      </x:c>
      <x:c r="G490" s="20"/>
      <x:c r="H490" s="20"/>
      <x:c r="I490" s="20"/>
      <x:c r="J490" s="20"/>
      <x:c r="K490" s="20"/>
      <x:c r="L490" s="20"/>
      <x:c r="M490" s="20"/>
      <x:c r="N490" s="20"/>
    </x:row>
    <x:row r="491">
      <x:c r="A491" s="20"/>
      <x:c r="B491" s="20"/>
      <x:c r="C491" s="20"/>
      <x:c r="D491" s="20"/>
      <x:c r="E491" s="20"/>
      <x:c r="F491" s="20" t="str">
        <x:f>IF(OR(D491="",E491=""),"",IF(EXACT(D491,E491),"一致","差异"))</x:f>
      </x:c>
      <x:c r="G491" s="20"/>
      <x:c r="H491" s="20"/>
      <x:c r="I491" s="20"/>
      <x:c r="J491" s="20"/>
      <x:c r="K491" s="20"/>
      <x:c r="L491" s="20"/>
      <x:c r="M491" s="20"/>
      <x:c r="N491" s="20"/>
    </x:row>
    <x:row r="492">
      <x:c r="A492" s="20"/>
      <x:c r="B492" s="20"/>
      <x:c r="C492" s="20"/>
      <x:c r="D492" s="20"/>
      <x:c r="E492" s="20"/>
      <x:c r="F492" s="20" t="str">
        <x:f>IF(OR(D492="",E492=""),"",IF(EXACT(D492,E492),"一致","差异"))</x:f>
      </x:c>
      <x:c r="G492" s="20"/>
      <x:c r="H492" s="20"/>
      <x:c r="I492" s="20"/>
      <x:c r="J492" s="20"/>
      <x:c r="K492" s="20"/>
      <x:c r="L492" s="20"/>
      <x:c r="M492" s="20"/>
      <x:c r="N492" s="20"/>
    </x:row>
    <x:row r="493">
      <x:c r="A493" s="20"/>
      <x:c r="B493" s="20"/>
      <x:c r="C493" s="20"/>
      <x:c r="D493" s="20"/>
      <x:c r="E493" s="20"/>
      <x:c r="F493" s="20" t="str">
        <x:f>IF(OR(D493="",E493=""),"",IF(EXACT(D493,E493),"一致","差异"))</x:f>
      </x:c>
      <x:c r="G493" s="20"/>
      <x:c r="H493" s="20"/>
      <x:c r="I493" s="20"/>
      <x:c r="J493" s="20"/>
      <x:c r="K493" s="20"/>
      <x:c r="L493" s="20"/>
      <x:c r="M493" s="20"/>
      <x:c r="N493" s="20"/>
    </x:row>
    <x:row r="494">
      <x:c r="A494" s="20"/>
      <x:c r="B494" s="20"/>
      <x:c r="C494" s="20"/>
      <x:c r="D494" s="20"/>
      <x:c r="E494" s="20"/>
      <x:c r="F494" s="20" t="str">
        <x:f>IF(OR(D494="",E494=""),"",IF(EXACT(D494,E494),"一致","差异"))</x:f>
      </x:c>
      <x:c r="G494" s="20"/>
      <x:c r="H494" s="20"/>
      <x:c r="I494" s="20"/>
      <x:c r="J494" s="20"/>
      <x:c r="K494" s="20"/>
      <x:c r="L494" s="20"/>
      <x:c r="M494" s="20"/>
      <x:c r="N494" s="20"/>
    </x:row>
    <x:row r="495">
      <x:c r="A495" s="20"/>
      <x:c r="B495" s="20"/>
      <x:c r="C495" s="20"/>
      <x:c r="D495" s="20"/>
      <x:c r="E495" s="20"/>
      <x:c r="F495" s="20" t="str">
        <x:f>IF(OR(D495="",E495=""),"",IF(EXACT(D495,E495),"一致","差异"))</x:f>
      </x:c>
      <x:c r="G495" s="20"/>
      <x:c r="H495" s="20"/>
      <x:c r="I495" s="20"/>
      <x:c r="J495" s="20"/>
      <x:c r="K495" s="20"/>
      <x:c r="L495" s="20"/>
      <x:c r="M495" s="20"/>
      <x:c r="N495" s="20"/>
    </x:row>
    <x:row r="496">
      <x:c r="A496" s="20"/>
      <x:c r="B496" s="20"/>
      <x:c r="C496" s="20"/>
      <x:c r="D496" s="20"/>
      <x:c r="E496" s="20"/>
      <x:c r="F496" s="20" t="str">
        <x:f>IF(OR(D496="",E496=""),"",IF(EXACT(D496,E496),"一致","差异"))</x:f>
      </x:c>
      <x:c r="G496" s="20"/>
      <x:c r="H496" s="20"/>
      <x:c r="I496" s="20"/>
      <x:c r="J496" s="20"/>
      <x:c r="K496" s="20"/>
      <x:c r="L496" s="20"/>
      <x:c r="M496" s="20"/>
      <x:c r="N496" s="20"/>
    </x:row>
    <x:row r="497">
      <x:c r="A497" s="20"/>
      <x:c r="B497" s="20"/>
      <x:c r="C497" s="20"/>
      <x:c r="D497" s="20"/>
      <x:c r="E497" s="20"/>
      <x:c r="F497" s="20" t="str">
        <x:f>IF(OR(D497="",E497=""),"",IF(EXACT(D497,E497),"一致","差异"))</x:f>
      </x:c>
      <x:c r="G497" s="20"/>
      <x:c r="H497" s="20"/>
      <x:c r="I497" s="20"/>
      <x:c r="J497" s="20"/>
      <x:c r="K497" s="20"/>
      <x:c r="L497" s="20"/>
      <x:c r="M497" s="20"/>
      <x:c r="N497" s="20"/>
    </x:row>
    <x:row r="498">
      <x:c r="A498" s="20"/>
      <x:c r="B498" s="20"/>
      <x:c r="C498" s="20"/>
      <x:c r="D498" s="20"/>
      <x:c r="E498" s="20"/>
      <x:c r="F498" s="20" t="str">
        <x:f>IF(OR(D498="",E498=""),"",IF(EXACT(D498,E498),"一致","差异"))</x:f>
      </x:c>
      <x:c r="G498" s="20"/>
      <x:c r="H498" s="20"/>
      <x:c r="I498" s="20"/>
      <x:c r="J498" s="20"/>
      <x:c r="K498" s="20"/>
      <x:c r="L498" s="20"/>
      <x:c r="M498" s="20"/>
      <x:c r="N498" s="20"/>
    </x:row>
    <x:row r="499">
      <x:c r="A499" s="20"/>
      <x:c r="B499" s="20"/>
      <x:c r="C499" s="20"/>
      <x:c r="D499" s="20"/>
      <x:c r="E499" s="20"/>
      <x:c r="F499" s="20" t="str">
        <x:f>IF(OR(D499="",E499=""),"",IF(EXACT(D499,E499),"一致","差异"))</x:f>
      </x:c>
      <x:c r="G499" s="20"/>
      <x:c r="H499" s="20"/>
      <x:c r="I499" s="20"/>
      <x:c r="J499" s="20"/>
      <x:c r="K499" s="20"/>
      <x:c r="L499" s="20"/>
      <x:c r="M499" s="20"/>
      <x:c r="N499" s="20"/>
    </x:row>
    <x:row r="500">
      <x:c r="A500" s="20"/>
      <x:c r="B500" s="20"/>
      <x:c r="C500" s="20"/>
      <x:c r="D500" s="20"/>
      <x:c r="E500" s="20"/>
      <x:c r="F500" s="20" t="str">
        <x:f>IF(OR(D500="",E500=""),"",IF(EXACT(D500,E500),"一致","差异"))</x:f>
      </x:c>
      <x:c r="G500" s="20"/>
      <x:c r="H500" s="20"/>
      <x:c r="I500" s="20"/>
      <x:c r="J500" s="20"/>
      <x:c r="K500" s="20"/>
      <x:c r="L500" s="20"/>
      <x:c r="M500" s="20"/>
      <x:c r="N500" s="20"/>
    </x:row>
    <x:row r="501">
      <x:c r="A501" s="20"/>
      <x:c r="B501" s="20"/>
      <x:c r="C501" s="20"/>
      <x:c r="D501" s="20"/>
      <x:c r="E501" s="20"/>
      <x:c r="F501" s="20" t="str">
        <x:f>IF(OR(D501="",E501=""),"",IF(EXACT(D501,E501),"一致","差异"))</x:f>
      </x:c>
      <x:c r="G501" s="20"/>
      <x:c r="H501" s="20"/>
      <x:c r="I501" s="20"/>
      <x:c r="J501" s="20"/>
      <x:c r="K501" s="20"/>
      <x:c r="L501" s="20"/>
      <x:c r="M501" s="20"/>
      <x:c r="N501" s="20"/>
    </x:row>
    <x:row r="502">
      <x:c r="A502" s="20"/>
      <x:c r="B502" s="20"/>
      <x:c r="C502" s="20"/>
      <x:c r="D502" s="20"/>
      <x:c r="E502" s="20"/>
      <x:c r="F502" s="20" t="str">
        <x:f>IF(OR(D502="",E502=""),"",IF(EXACT(D502,E502),"一致","差异"))</x:f>
      </x:c>
      <x:c r="G502" s="20"/>
      <x:c r="H502" s="20"/>
      <x:c r="I502" s="20"/>
      <x:c r="J502" s="20"/>
      <x:c r="K502" s="20"/>
      <x:c r="L502" s="20"/>
      <x:c r="M502" s="20"/>
      <x:c r="N502" s="20"/>
    </x:row>
    <x:row r="503">
      <x:c r="A503" s="20"/>
      <x:c r="B503" s="20"/>
      <x:c r="C503" s="20"/>
      <x:c r="D503" s="20"/>
      <x:c r="E503" s="20"/>
      <x:c r="F503" s="20" t="str">
        <x:f>IF(OR(D503="",E503=""),"",IF(EXACT(D503,E503),"一致","差异"))</x:f>
      </x:c>
      <x:c r="G503" s="20"/>
      <x:c r="H503" s="20"/>
      <x:c r="I503" s="20"/>
      <x:c r="J503" s="20"/>
      <x:c r="K503" s="20"/>
      <x:c r="L503" s="20"/>
      <x:c r="M503" s="20"/>
      <x:c r="N503" s="20"/>
    </x:row>
  </x:sheetData>
  <x:mergeCells>
    <x:mergeCell ref="A1:N1"/>
  </x:mergeCells>
  <x:conditionalFormatting sqref="F4:F503">
    <x:cfRule type="containsText" dxfId="18" priority="1" operator="containsText" text="一致"/>
    <x:cfRule type="containsText" dxfId="19" priority="2" operator="containsText" text="差异"/>
  </x:conditionalFormatting>
  <x:conditionalFormatting sqref="G4:G503">
    <x:cfRule type="containsText" dxfId="20" priority="3" operator="containsText" text="业务错误"/>
  </x:conditionalFormatting>
  <x:dataValidations count="6">
    <x:dataValidation type="list" sqref="B4:B503">
      <x:formula1>"standard,high_accuracy"</x:formula1>
    </x:dataValidation>
    <x:dataValidation type="list" sqref="G4:G503">
      <x:formula1>"待判断,业务一致,业务错误,不适用"</x:formula1>
    </x:dataValidation>
    <x:dataValidation type="list" sqref="H4:H503">
      <x:formula1>"PARSER,VISION_OCR,PROMPT_LLM,RULE_CLEAN,GOLD_ERROR,BUSINESS_UNCLEAR,API_SYSTEM"</x:formula1>
    </x:dataValidation>
    <x:dataValidation type="list" sqref="I4:I503">
      <x:formula1>"P0,P1,P2,P3"</x:formula1>
    </x:dataValidation>
    <x:dataValidation type="list" sqref="L4:L503">
      <x:formula1>"待确认,已确认,有争议"</x:formula1>
    </x:dataValidation>
    <x:dataValidation type="list" sqref="N4:N503">
      <x:formula1>"漏提,错提,错位,幻觉,格式差异,金标问题,业务待确认,系统失败"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01cf8ae074b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9" hidden="0" customWidth="1"/>
    <x:col min="5" max="5" width="30" hidden="0" customWidth="1"/>
    <x:col min="6" max="6" width="25" hidden="0" customWidth="1"/>
    <x:col min="7" max="7" width="36" hidden="0" customWidth="1"/>
    <x:col min="8" max="8" width="11" hidden="0" customWidth="1"/>
    <x:col min="9" max="9" width="15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1" hidden="0" customWidth="1"/>
    <x:col min="15" max="15" width="45" hidden="0" customWidth="1"/>
    <x:col min="16" max="16" width="38" hidden="0" customWidth="1"/>
    <x:col min="17" max="17" width="15" hidden="0" customWidth="1"/>
    <x:col min="18" max="18" width="18" hidden="0" customWidth="1"/>
    <x:col min="19" max="19" width="18" hidden="0" customWidth="1"/>
  </x:cols>
  <x:sheetData>
    <x:row r="1" ht="32" customHeight="1">
      <x:c r="A1" s="4" t="str">
        <x:v>API 执行日志（每次请求一行）</x:v>
      </x:c>
      <x:c r="B1" s="4" t="str">
        <x:v>API 执行日志（每次请求一行）</x:v>
      </x:c>
      <x:c r="C1" s="4" t="str">
        <x:v>API 执行日志（每次请求一行）</x:v>
      </x:c>
      <x:c r="D1" s="4" t="str">
        <x:v>API 执行日志（每次请求一行）</x:v>
      </x:c>
      <x:c r="E1" s="4" t="str">
        <x:v>API 执行日志（每次请求一行）</x:v>
      </x:c>
      <x:c r="F1" s="4" t="str">
        <x:v>API 执行日志（每次请求一行）</x:v>
      </x:c>
      <x:c r="G1" s="4" t="str">
        <x:v>API 执行日志（每次请求一行）</x:v>
      </x:c>
      <x:c r="H1" s="4" t="str">
        <x:v>API 执行日志（每次请求一行）</x:v>
      </x:c>
      <x:c r="I1" s="4" t="str">
        <x:v>API 执行日志（每次请求一行）</x:v>
      </x:c>
      <x:c r="J1" s="4" t="str">
        <x:v>API 执行日志（每次请求一行）</x:v>
      </x:c>
      <x:c r="K1" s="4" t="str">
        <x:v>API 执行日志（每次请求一行）</x:v>
      </x:c>
      <x:c r="L1" s="4" t="str">
        <x:v>API 执行日志（每次请求一行）</x:v>
      </x:c>
      <x:c r="M1" s="4" t="str">
        <x:v>API 执行日志（每次请求一行）</x:v>
      </x:c>
      <x:c r="N1" s="4" t="str">
        <x:v>API 执行日志（每次请求一行）</x:v>
      </x:c>
      <x:c r="O1" s="4" t="str">
        <x:v>API 执行日志（每次请求一行）</x:v>
      </x:c>
      <x:c r="P1" s="4" t="str">
        <x:v>API 执行日志（每次请求一行）</x:v>
      </x:c>
      <x:c r="Q1" s="4" t="str">
        <x:v>API 执行日志（每次请求一行）</x:v>
      </x:c>
      <x:c r="R1" s="4" t="str">
        <x:v>API 执行日志（每次请求一行）</x:v>
      </x:c>
      <x:c r="S1" s="4" t="str">
        <x:v>API 执行日志（每次请求一行）</x:v>
      </x:c>
    </x:row>
    <x:row r="3" ht="30" customHeight="1">
      <x:c r="A3" s="13" t="str">
        <x:v>提交时间</x:v>
      </x:c>
      <x:c r="B3" s="13" t="str">
        <x:v>案例编号</x:v>
      </x:c>
      <x:c r="C3" s="13" t="str">
        <x:v>模式</x:v>
      </x:c>
      <x:c r="D3" s="13" t="str">
        <x:v>次数</x:v>
      </x:c>
      <x:c r="E3" s="13" t="str">
        <x:v>幂等键</x:v>
      </x:c>
      <x:c r="F3" s="13" t="str">
        <x:v>Task ID</x:v>
      </x:c>
      <x:c r="G3" s="13" t="str">
        <x:v>文件名</x:v>
      </x:c>
      <x:c r="H3" s="13" t="str">
        <x:v>提交HTTP</x:v>
      </x:c>
      <x:c r="I3" s="13" t="str">
        <x:v>最终状态</x:v>
      </x:c>
      <x:c r="J3" s="13" t="str">
        <x:v>总耗时ms</x:v>
      </x:c>
      <x:c r="K3" s="13" t="str">
        <x:v>视觉总页数</x:v>
      </x:c>
      <x:c r="L3" s="13" t="str">
        <x:v>视觉处理页数</x:v>
      </x:c>
      <x:c r="M3" s="13" t="str">
        <x:v>视觉耗时ms</x:v>
      </x:c>
      <x:c r="N3" s="13" t="str">
        <x:v>扣费</x:v>
      </x:c>
      <x:c r="O3" s="13" t="str">
        <x:v>错误信息</x:v>
      </x:c>
      <x:c r="P3" s="13" t="str">
        <x:v>结果路径</x:v>
      </x:c>
      <x:c r="Q3" s="13" t="str">
        <x:v>操作人</x:v>
      </x:c>
      <x:c r="R3" s="13" t="str">
        <x:v>Standard耗时辅助</x:v>
      </x:c>
      <x:c r="S3" s="13" t="str">
        <x:v>High耗时辅助</x:v>
      </x:c>
    </x:row>
    <x:row r="4">
      <x:c r="A4" s="56"/>
      <x:c r="B4" s="19"/>
      <x:c r="C4" s="19"/>
      <x:c r="D4" s="58"/>
      <x:c r="E4" s="19"/>
      <x:c r="F4" s="19"/>
      <x:c r="G4" s="19"/>
      <x:c r="H4" s="58"/>
      <x:c r="I4" s="19"/>
      <x:c r="J4" s="52"/>
      <x:c r="K4" s="52"/>
      <x:c r="L4" s="52"/>
      <x:c r="M4" s="52"/>
      <x:c r="N4" s="54"/>
      <x:c r="O4" s="19"/>
      <x:c r="P4" s="19"/>
      <x:c r="Q4" s="19"/>
      <x:c r="R4" s="19" t="str">
        <x:f>IF(C4="standard",J4,"")</x:f>
      </x:c>
      <x:c r="S4" s="19" t="str">
        <x:f>IF(C4="high_accuracy",J4,"")</x:f>
      </x:c>
    </x:row>
    <x:row r="5">
      <x:c r="A5" s="57"/>
      <x:c r="B5" s="20"/>
      <x:c r="C5" s="20"/>
      <x:c r="D5" s="59"/>
      <x:c r="E5" s="20"/>
      <x:c r="F5" s="20"/>
      <x:c r="G5" s="20"/>
      <x:c r="H5" s="59"/>
      <x:c r="I5" s="20"/>
      <x:c r="J5" s="53"/>
      <x:c r="K5" s="53"/>
      <x:c r="L5" s="53"/>
      <x:c r="M5" s="53"/>
      <x:c r="N5" s="55"/>
      <x:c r="O5" s="20"/>
      <x:c r="P5" s="20"/>
      <x:c r="Q5" s="20"/>
      <x:c r="R5" s="20" t="str">
        <x:f>IF(C5="standard",J5,"")</x:f>
      </x:c>
      <x:c r="S5" s="20" t="str">
        <x:f>IF(C5="high_accuracy",J5,"")</x:f>
      </x:c>
    </x:row>
    <x:row r="6">
      <x:c r="A6" s="57"/>
      <x:c r="B6" s="20"/>
      <x:c r="C6" s="20"/>
      <x:c r="D6" s="59"/>
      <x:c r="E6" s="20"/>
      <x:c r="F6" s="20"/>
      <x:c r="G6" s="20"/>
      <x:c r="H6" s="59"/>
      <x:c r="I6" s="20"/>
      <x:c r="J6" s="53"/>
      <x:c r="K6" s="53"/>
      <x:c r="L6" s="53"/>
      <x:c r="M6" s="53"/>
      <x:c r="N6" s="55"/>
      <x:c r="O6" s="20"/>
      <x:c r="P6" s="20"/>
      <x:c r="Q6" s="20"/>
      <x:c r="R6" s="20" t="str">
        <x:f>IF(C6="standard",J6,"")</x:f>
      </x:c>
      <x:c r="S6" s="20" t="str">
        <x:f>IF(C6="high_accuracy",J6,"")</x:f>
      </x:c>
    </x:row>
    <x:row r="7">
      <x:c r="A7" s="57"/>
      <x:c r="B7" s="20"/>
      <x:c r="C7" s="20"/>
      <x:c r="D7" s="59"/>
      <x:c r="E7" s="20"/>
      <x:c r="F7" s="20"/>
      <x:c r="G7" s="20"/>
      <x:c r="H7" s="59"/>
      <x:c r="I7" s="20"/>
      <x:c r="J7" s="53"/>
      <x:c r="K7" s="53"/>
      <x:c r="L7" s="53"/>
      <x:c r="M7" s="53"/>
      <x:c r="N7" s="55"/>
      <x:c r="O7" s="20"/>
      <x:c r="P7" s="20"/>
      <x:c r="Q7" s="20"/>
      <x:c r="R7" s="20" t="str">
        <x:f>IF(C7="standard",J7,"")</x:f>
      </x:c>
      <x:c r="S7" s="20" t="str">
        <x:f>IF(C7="high_accuracy",J7,"")</x:f>
      </x:c>
    </x:row>
    <x:row r="8">
      <x:c r="A8" s="57"/>
      <x:c r="B8" s="20"/>
      <x:c r="C8" s="20"/>
      <x:c r="D8" s="59"/>
      <x:c r="E8" s="20"/>
      <x:c r="F8" s="20"/>
      <x:c r="G8" s="20"/>
      <x:c r="H8" s="59"/>
      <x:c r="I8" s="20"/>
      <x:c r="J8" s="53"/>
      <x:c r="K8" s="53"/>
      <x:c r="L8" s="53"/>
      <x:c r="M8" s="53"/>
      <x:c r="N8" s="55"/>
      <x:c r="O8" s="20"/>
      <x:c r="P8" s="20"/>
      <x:c r="Q8" s="20"/>
      <x:c r="R8" s="20" t="str">
        <x:f>IF(C8="standard",J8,"")</x:f>
      </x:c>
      <x:c r="S8" s="20" t="str">
        <x:f>IF(C8="high_accuracy",J8,"")</x:f>
      </x:c>
    </x:row>
    <x:row r="9">
      <x:c r="A9" s="57"/>
      <x:c r="B9" s="20"/>
      <x:c r="C9" s="20"/>
      <x:c r="D9" s="59"/>
      <x:c r="E9" s="20"/>
      <x:c r="F9" s="20"/>
      <x:c r="G9" s="20"/>
      <x:c r="H9" s="59"/>
      <x:c r="I9" s="20"/>
      <x:c r="J9" s="53"/>
      <x:c r="K9" s="53"/>
      <x:c r="L9" s="53"/>
      <x:c r="M9" s="53"/>
      <x:c r="N9" s="55"/>
      <x:c r="O9" s="20"/>
      <x:c r="P9" s="20"/>
      <x:c r="Q9" s="20"/>
      <x:c r="R9" s="20" t="str">
        <x:f>IF(C9="standard",J9,"")</x:f>
      </x:c>
      <x:c r="S9" s="20" t="str">
        <x:f>IF(C9="high_accuracy",J9,"")</x:f>
      </x:c>
    </x:row>
    <x:row r="10">
      <x:c r="A10" s="57"/>
      <x:c r="B10" s="20"/>
      <x:c r="C10" s="20"/>
      <x:c r="D10" s="59"/>
      <x:c r="E10" s="20"/>
      <x:c r="F10" s="20"/>
      <x:c r="G10" s="20"/>
      <x:c r="H10" s="59"/>
      <x:c r="I10" s="20"/>
      <x:c r="J10" s="53"/>
      <x:c r="K10" s="53"/>
      <x:c r="L10" s="53"/>
      <x:c r="M10" s="53"/>
      <x:c r="N10" s="55"/>
      <x:c r="O10" s="20"/>
      <x:c r="P10" s="20"/>
      <x:c r="Q10" s="20"/>
      <x:c r="R10" s="20" t="str">
        <x:f>IF(C10="standard",J10,"")</x:f>
      </x:c>
      <x:c r="S10" s="20" t="str">
        <x:f>IF(C10="high_accuracy",J10,"")</x:f>
      </x:c>
    </x:row>
    <x:row r="11">
      <x:c r="A11" s="57"/>
      <x:c r="B11" s="20"/>
      <x:c r="C11" s="20"/>
      <x:c r="D11" s="59"/>
      <x:c r="E11" s="20"/>
      <x:c r="F11" s="20"/>
      <x:c r="G11" s="20"/>
      <x:c r="H11" s="59"/>
      <x:c r="I11" s="20"/>
      <x:c r="J11" s="53"/>
      <x:c r="K11" s="53"/>
      <x:c r="L11" s="53"/>
      <x:c r="M11" s="53"/>
      <x:c r="N11" s="55"/>
      <x:c r="O11" s="20"/>
      <x:c r="P11" s="20"/>
      <x:c r="Q11" s="20"/>
      <x:c r="R11" s="20" t="str">
        <x:f>IF(C11="standard",J11,"")</x:f>
      </x:c>
      <x:c r="S11" s="20" t="str">
        <x:f>IF(C11="high_accuracy",J11,"")</x:f>
      </x:c>
    </x:row>
    <x:row r="12">
      <x:c r="A12" s="57"/>
      <x:c r="B12" s="20"/>
      <x:c r="C12" s="20"/>
      <x:c r="D12" s="59"/>
      <x:c r="E12" s="20"/>
      <x:c r="F12" s="20"/>
      <x:c r="G12" s="20"/>
      <x:c r="H12" s="59"/>
      <x:c r="I12" s="20"/>
      <x:c r="J12" s="53"/>
      <x:c r="K12" s="53"/>
      <x:c r="L12" s="53"/>
      <x:c r="M12" s="53"/>
      <x:c r="N12" s="55"/>
      <x:c r="O12" s="20"/>
      <x:c r="P12" s="20"/>
      <x:c r="Q12" s="20"/>
      <x:c r="R12" s="20" t="str">
        <x:f>IF(C12="standard",J12,"")</x:f>
      </x:c>
      <x:c r="S12" s="20" t="str">
        <x:f>IF(C12="high_accuracy",J12,"")</x:f>
      </x:c>
    </x:row>
    <x:row r="13">
      <x:c r="A13" s="57"/>
      <x:c r="B13" s="20"/>
      <x:c r="C13" s="20"/>
      <x:c r="D13" s="59"/>
      <x:c r="E13" s="20"/>
      <x:c r="F13" s="20"/>
      <x:c r="G13" s="20"/>
      <x:c r="H13" s="59"/>
      <x:c r="I13" s="20"/>
      <x:c r="J13" s="53"/>
      <x:c r="K13" s="53"/>
      <x:c r="L13" s="53"/>
      <x:c r="M13" s="53"/>
      <x:c r="N13" s="55"/>
      <x:c r="O13" s="20"/>
      <x:c r="P13" s="20"/>
      <x:c r="Q13" s="20"/>
      <x:c r="R13" s="20" t="str">
        <x:f>IF(C13="standard",J13,"")</x:f>
      </x:c>
      <x:c r="S13" s="20" t="str">
        <x:f>IF(C13="high_accuracy",J13,"")</x:f>
      </x:c>
    </x:row>
    <x:row r="14">
      <x:c r="A14" s="57"/>
      <x:c r="B14" s="20"/>
      <x:c r="C14" s="20"/>
      <x:c r="D14" s="59"/>
      <x:c r="E14" s="20"/>
      <x:c r="F14" s="20"/>
      <x:c r="G14" s="20"/>
      <x:c r="H14" s="59"/>
      <x:c r="I14" s="20"/>
      <x:c r="J14" s="53"/>
      <x:c r="K14" s="53"/>
      <x:c r="L14" s="53"/>
      <x:c r="M14" s="53"/>
      <x:c r="N14" s="55"/>
      <x:c r="O14" s="20"/>
      <x:c r="P14" s="20"/>
      <x:c r="Q14" s="20"/>
      <x:c r="R14" s="20" t="str">
        <x:f>IF(C14="standard",J14,"")</x:f>
      </x:c>
      <x:c r="S14" s="20" t="str">
        <x:f>IF(C14="high_accuracy",J14,"")</x:f>
      </x:c>
    </x:row>
    <x:row r="15">
      <x:c r="A15" s="57"/>
      <x:c r="B15" s="20"/>
      <x:c r="C15" s="20"/>
      <x:c r="D15" s="59"/>
      <x:c r="E15" s="20"/>
      <x:c r="F15" s="20"/>
      <x:c r="G15" s="20"/>
      <x:c r="H15" s="59"/>
      <x:c r="I15" s="20"/>
      <x:c r="J15" s="53"/>
      <x:c r="K15" s="53"/>
      <x:c r="L15" s="53"/>
      <x:c r="M15" s="53"/>
      <x:c r="N15" s="55"/>
      <x:c r="O15" s="20"/>
      <x:c r="P15" s="20"/>
      <x:c r="Q15" s="20"/>
      <x:c r="R15" s="20" t="str">
        <x:f>IF(C15="standard",J15,"")</x:f>
      </x:c>
      <x:c r="S15" s="20" t="str">
        <x:f>IF(C15="high_accuracy",J15,"")</x:f>
      </x:c>
    </x:row>
    <x:row r="16">
      <x:c r="A16" s="57"/>
      <x:c r="B16" s="20"/>
      <x:c r="C16" s="20"/>
      <x:c r="D16" s="59"/>
      <x:c r="E16" s="20"/>
      <x:c r="F16" s="20"/>
      <x:c r="G16" s="20"/>
      <x:c r="H16" s="59"/>
      <x:c r="I16" s="20"/>
      <x:c r="J16" s="53"/>
      <x:c r="K16" s="53"/>
      <x:c r="L16" s="53"/>
      <x:c r="M16" s="53"/>
      <x:c r="N16" s="55"/>
      <x:c r="O16" s="20"/>
      <x:c r="P16" s="20"/>
      <x:c r="Q16" s="20"/>
      <x:c r="R16" s="20" t="str">
        <x:f>IF(C16="standard",J16,"")</x:f>
      </x:c>
      <x:c r="S16" s="20" t="str">
        <x:f>IF(C16="high_accuracy",J16,"")</x:f>
      </x:c>
    </x:row>
    <x:row r="17">
      <x:c r="A17" s="57"/>
      <x:c r="B17" s="20"/>
      <x:c r="C17" s="20"/>
      <x:c r="D17" s="59"/>
      <x:c r="E17" s="20"/>
      <x:c r="F17" s="20"/>
      <x:c r="G17" s="20"/>
      <x:c r="H17" s="59"/>
      <x:c r="I17" s="20"/>
      <x:c r="J17" s="53"/>
      <x:c r="K17" s="53"/>
      <x:c r="L17" s="53"/>
      <x:c r="M17" s="53"/>
      <x:c r="N17" s="55"/>
      <x:c r="O17" s="20"/>
      <x:c r="P17" s="20"/>
      <x:c r="Q17" s="20"/>
      <x:c r="R17" s="20" t="str">
        <x:f>IF(C17="standard",J17,"")</x:f>
      </x:c>
      <x:c r="S17" s="20" t="str">
        <x:f>IF(C17="high_accuracy",J17,"")</x:f>
      </x:c>
    </x:row>
    <x:row r="18">
      <x:c r="A18" s="57"/>
      <x:c r="B18" s="20"/>
      <x:c r="C18" s="20"/>
      <x:c r="D18" s="59"/>
      <x:c r="E18" s="20"/>
      <x:c r="F18" s="20"/>
      <x:c r="G18" s="20"/>
      <x:c r="H18" s="59"/>
      <x:c r="I18" s="20"/>
      <x:c r="J18" s="53"/>
      <x:c r="K18" s="53"/>
      <x:c r="L18" s="53"/>
      <x:c r="M18" s="53"/>
      <x:c r="N18" s="55"/>
      <x:c r="O18" s="20"/>
      <x:c r="P18" s="20"/>
      <x:c r="Q18" s="20"/>
      <x:c r="R18" s="20" t="str">
        <x:f>IF(C18="standard",J18,"")</x:f>
      </x:c>
      <x:c r="S18" s="20" t="str">
        <x:f>IF(C18="high_accuracy",J18,"")</x:f>
      </x:c>
    </x:row>
    <x:row r="19">
      <x:c r="A19" s="57"/>
      <x:c r="B19" s="20"/>
      <x:c r="C19" s="20"/>
      <x:c r="D19" s="59"/>
      <x:c r="E19" s="20"/>
      <x:c r="F19" s="20"/>
      <x:c r="G19" s="20"/>
      <x:c r="H19" s="59"/>
      <x:c r="I19" s="20"/>
      <x:c r="J19" s="53"/>
      <x:c r="K19" s="53"/>
      <x:c r="L19" s="53"/>
      <x:c r="M19" s="53"/>
      <x:c r="N19" s="55"/>
      <x:c r="O19" s="20"/>
      <x:c r="P19" s="20"/>
      <x:c r="Q19" s="20"/>
      <x:c r="R19" s="20" t="str">
        <x:f>IF(C19="standard",J19,"")</x:f>
      </x:c>
      <x:c r="S19" s="20" t="str">
        <x:f>IF(C19="high_accuracy",J19,"")</x:f>
      </x:c>
    </x:row>
    <x:row r="20">
      <x:c r="A20" s="57"/>
      <x:c r="B20" s="20"/>
      <x:c r="C20" s="20"/>
      <x:c r="D20" s="59"/>
      <x:c r="E20" s="20"/>
      <x:c r="F20" s="20"/>
      <x:c r="G20" s="20"/>
      <x:c r="H20" s="59"/>
      <x:c r="I20" s="20"/>
      <x:c r="J20" s="53"/>
      <x:c r="K20" s="53"/>
      <x:c r="L20" s="53"/>
      <x:c r="M20" s="53"/>
      <x:c r="N20" s="55"/>
      <x:c r="O20" s="20"/>
      <x:c r="P20" s="20"/>
      <x:c r="Q20" s="20"/>
      <x:c r="R20" s="20" t="str">
        <x:f>IF(C20="standard",J20,"")</x:f>
      </x:c>
      <x:c r="S20" s="20" t="str">
        <x:f>IF(C20="high_accuracy",J20,"")</x:f>
      </x:c>
    </x:row>
    <x:row r="21">
      <x:c r="A21" s="57"/>
      <x:c r="B21" s="20"/>
      <x:c r="C21" s="20"/>
      <x:c r="D21" s="59"/>
      <x:c r="E21" s="20"/>
      <x:c r="F21" s="20"/>
      <x:c r="G21" s="20"/>
      <x:c r="H21" s="59"/>
      <x:c r="I21" s="20"/>
      <x:c r="J21" s="53"/>
      <x:c r="K21" s="53"/>
      <x:c r="L21" s="53"/>
      <x:c r="M21" s="53"/>
      <x:c r="N21" s="55"/>
      <x:c r="O21" s="20"/>
      <x:c r="P21" s="20"/>
      <x:c r="Q21" s="20"/>
      <x:c r="R21" s="20" t="str">
        <x:f>IF(C21="standard",J21,"")</x:f>
      </x:c>
      <x:c r="S21" s="20" t="str">
        <x:f>IF(C21="high_accuracy",J21,"")</x:f>
      </x:c>
    </x:row>
    <x:row r="22">
      <x:c r="A22" s="57"/>
      <x:c r="B22" s="20"/>
      <x:c r="C22" s="20"/>
      <x:c r="D22" s="59"/>
      <x:c r="E22" s="20"/>
      <x:c r="F22" s="20"/>
      <x:c r="G22" s="20"/>
      <x:c r="H22" s="59"/>
      <x:c r="I22" s="20"/>
      <x:c r="J22" s="53"/>
      <x:c r="K22" s="53"/>
      <x:c r="L22" s="53"/>
      <x:c r="M22" s="53"/>
      <x:c r="N22" s="55"/>
      <x:c r="O22" s="20"/>
      <x:c r="P22" s="20"/>
      <x:c r="Q22" s="20"/>
      <x:c r="R22" s="20" t="str">
        <x:f>IF(C22="standard",J22,"")</x:f>
      </x:c>
      <x:c r="S22" s="20" t="str">
        <x:f>IF(C22="high_accuracy",J22,"")</x:f>
      </x:c>
    </x:row>
    <x:row r="23">
      <x:c r="A23" s="57"/>
      <x:c r="B23" s="20"/>
      <x:c r="C23" s="20"/>
      <x:c r="D23" s="59"/>
      <x:c r="E23" s="20"/>
      <x:c r="F23" s="20"/>
      <x:c r="G23" s="20"/>
      <x:c r="H23" s="59"/>
      <x:c r="I23" s="20"/>
      <x:c r="J23" s="53"/>
      <x:c r="K23" s="53"/>
      <x:c r="L23" s="53"/>
      <x:c r="M23" s="53"/>
      <x:c r="N23" s="55"/>
      <x:c r="O23" s="20"/>
      <x:c r="P23" s="20"/>
      <x:c r="Q23" s="20"/>
      <x:c r="R23" s="20" t="str">
        <x:f>IF(C23="standard",J23,"")</x:f>
      </x:c>
      <x:c r="S23" s="20" t="str">
        <x:f>IF(C23="high_accuracy",J23,"")</x:f>
      </x:c>
    </x:row>
    <x:row r="24">
      <x:c r="A24" s="57"/>
      <x:c r="B24" s="20"/>
      <x:c r="C24" s="20"/>
      <x:c r="D24" s="59"/>
      <x:c r="E24" s="20"/>
      <x:c r="F24" s="20"/>
      <x:c r="G24" s="20"/>
      <x:c r="H24" s="59"/>
      <x:c r="I24" s="20"/>
      <x:c r="J24" s="53"/>
      <x:c r="K24" s="53"/>
      <x:c r="L24" s="53"/>
      <x:c r="M24" s="53"/>
      <x:c r="N24" s="55"/>
      <x:c r="O24" s="20"/>
      <x:c r="P24" s="20"/>
      <x:c r="Q24" s="20"/>
      <x:c r="R24" s="20" t="str">
        <x:f>IF(C24="standard",J24,"")</x:f>
      </x:c>
      <x:c r="S24" s="20" t="str">
        <x:f>IF(C24="high_accuracy",J24,"")</x:f>
      </x:c>
    </x:row>
    <x:row r="25">
      <x:c r="A25" s="57"/>
      <x:c r="B25" s="20"/>
      <x:c r="C25" s="20"/>
      <x:c r="D25" s="59"/>
      <x:c r="E25" s="20"/>
      <x:c r="F25" s="20"/>
      <x:c r="G25" s="20"/>
      <x:c r="H25" s="59"/>
      <x:c r="I25" s="20"/>
      <x:c r="J25" s="53"/>
      <x:c r="K25" s="53"/>
      <x:c r="L25" s="53"/>
      <x:c r="M25" s="53"/>
      <x:c r="N25" s="55"/>
      <x:c r="O25" s="20"/>
      <x:c r="P25" s="20"/>
      <x:c r="Q25" s="20"/>
      <x:c r="R25" s="20" t="str">
        <x:f>IF(C25="standard",J25,"")</x:f>
      </x:c>
      <x:c r="S25" s="20" t="str">
        <x:f>IF(C25="high_accuracy",J25,"")</x:f>
      </x:c>
    </x:row>
    <x:row r="26">
      <x:c r="A26" s="57"/>
      <x:c r="B26" s="20"/>
      <x:c r="C26" s="20"/>
      <x:c r="D26" s="59"/>
      <x:c r="E26" s="20"/>
      <x:c r="F26" s="20"/>
      <x:c r="G26" s="20"/>
      <x:c r="H26" s="59"/>
      <x:c r="I26" s="20"/>
      <x:c r="J26" s="53"/>
      <x:c r="K26" s="53"/>
      <x:c r="L26" s="53"/>
      <x:c r="M26" s="53"/>
      <x:c r="N26" s="55"/>
      <x:c r="O26" s="20"/>
      <x:c r="P26" s="20"/>
      <x:c r="Q26" s="20"/>
      <x:c r="R26" s="20" t="str">
        <x:f>IF(C26="standard",J26,"")</x:f>
      </x:c>
      <x:c r="S26" s="20" t="str">
        <x:f>IF(C26="high_accuracy",J26,"")</x:f>
      </x:c>
    </x:row>
    <x:row r="27">
      <x:c r="A27" s="57"/>
      <x:c r="B27" s="20"/>
      <x:c r="C27" s="20"/>
      <x:c r="D27" s="59"/>
      <x:c r="E27" s="20"/>
      <x:c r="F27" s="20"/>
      <x:c r="G27" s="20"/>
      <x:c r="H27" s="59"/>
      <x:c r="I27" s="20"/>
      <x:c r="J27" s="53"/>
      <x:c r="K27" s="53"/>
      <x:c r="L27" s="53"/>
      <x:c r="M27" s="53"/>
      <x:c r="N27" s="55"/>
      <x:c r="O27" s="20"/>
      <x:c r="P27" s="20"/>
      <x:c r="Q27" s="20"/>
      <x:c r="R27" s="20" t="str">
        <x:f>IF(C27="standard",J27,"")</x:f>
      </x:c>
      <x:c r="S27" s="20" t="str">
        <x:f>IF(C27="high_accuracy",J27,"")</x:f>
      </x:c>
    </x:row>
    <x:row r="28">
      <x:c r="A28" s="57"/>
      <x:c r="B28" s="20"/>
      <x:c r="C28" s="20"/>
      <x:c r="D28" s="59"/>
      <x:c r="E28" s="20"/>
      <x:c r="F28" s="20"/>
      <x:c r="G28" s="20"/>
      <x:c r="H28" s="59"/>
      <x:c r="I28" s="20"/>
      <x:c r="J28" s="53"/>
      <x:c r="K28" s="53"/>
      <x:c r="L28" s="53"/>
      <x:c r="M28" s="53"/>
      <x:c r="N28" s="55"/>
      <x:c r="O28" s="20"/>
      <x:c r="P28" s="20"/>
      <x:c r="Q28" s="20"/>
      <x:c r="R28" s="20" t="str">
        <x:f>IF(C28="standard",J28,"")</x:f>
      </x:c>
      <x:c r="S28" s="20" t="str">
        <x:f>IF(C28="high_accuracy",J28,"")</x:f>
      </x:c>
    </x:row>
    <x:row r="29">
      <x:c r="A29" s="57"/>
      <x:c r="B29" s="20"/>
      <x:c r="C29" s="20"/>
      <x:c r="D29" s="59"/>
      <x:c r="E29" s="20"/>
      <x:c r="F29" s="20"/>
      <x:c r="G29" s="20"/>
      <x:c r="H29" s="59"/>
      <x:c r="I29" s="20"/>
      <x:c r="J29" s="53"/>
      <x:c r="K29" s="53"/>
      <x:c r="L29" s="53"/>
      <x:c r="M29" s="53"/>
      <x:c r="N29" s="55"/>
      <x:c r="O29" s="20"/>
      <x:c r="P29" s="20"/>
      <x:c r="Q29" s="20"/>
      <x:c r="R29" s="20" t="str">
        <x:f>IF(C29="standard",J29,"")</x:f>
      </x:c>
      <x:c r="S29" s="20" t="str">
        <x:f>IF(C29="high_accuracy",J29,"")</x:f>
      </x:c>
    </x:row>
    <x:row r="30">
      <x:c r="A30" s="57"/>
      <x:c r="B30" s="20"/>
      <x:c r="C30" s="20"/>
      <x:c r="D30" s="59"/>
      <x:c r="E30" s="20"/>
      <x:c r="F30" s="20"/>
      <x:c r="G30" s="20"/>
      <x:c r="H30" s="59"/>
      <x:c r="I30" s="20"/>
      <x:c r="J30" s="53"/>
      <x:c r="K30" s="53"/>
      <x:c r="L30" s="53"/>
      <x:c r="M30" s="53"/>
      <x:c r="N30" s="55"/>
      <x:c r="O30" s="20"/>
      <x:c r="P30" s="20"/>
      <x:c r="Q30" s="20"/>
      <x:c r="R30" s="20" t="str">
        <x:f>IF(C30="standard",J30,"")</x:f>
      </x:c>
      <x:c r="S30" s="20" t="str">
        <x:f>IF(C30="high_accuracy",J30,"")</x:f>
      </x:c>
    </x:row>
    <x:row r="31">
      <x:c r="A31" s="57"/>
      <x:c r="B31" s="20"/>
      <x:c r="C31" s="20"/>
      <x:c r="D31" s="59"/>
      <x:c r="E31" s="20"/>
      <x:c r="F31" s="20"/>
      <x:c r="G31" s="20"/>
      <x:c r="H31" s="59"/>
      <x:c r="I31" s="20"/>
      <x:c r="J31" s="53"/>
      <x:c r="K31" s="53"/>
      <x:c r="L31" s="53"/>
      <x:c r="M31" s="53"/>
      <x:c r="N31" s="55"/>
      <x:c r="O31" s="20"/>
      <x:c r="P31" s="20"/>
      <x:c r="Q31" s="20"/>
      <x:c r="R31" s="20" t="str">
        <x:f>IF(C31="standard",J31,"")</x:f>
      </x:c>
      <x:c r="S31" s="20" t="str">
        <x:f>IF(C31="high_accuracy",J31,"")</x:f>
      </x:c>
    </x:row>
    <x:row r="32">
      <x:c r="A32" s="57"/>
      <x:c r="B32" s="20"/>
      <x:c r="C32" s="20"/>
      <x:c r="D32" s="59"/>
      <x:c r="E32" s="20"/>
      <x:c r="F32" s="20"/>
      <x:c r="G32" s="20"/>
      <x:c r="H32" s="59"/>
      <x:c r="I32" s="20"/>
      <x:c r="J32" s="53"/>
      <x:c r="K32" s="53"/>
      <x:c r="L32" s="53"/>
      <x:c r="M32" s="53"/>
      <x:c r="N32" s="55"/>
      <x:c r="O32" s="20"/>
      <x:c r="P32" s="20"/>
      <x:c r="Q32" s="20"/>
      <x:c r="R32" s="20" t="str">
        <x:f>IF(C32="standard",J32,"")</x:f>
      </x:c>
      <x:c r="S32" s="20" t="str">
        <x:f>IF(C32="high_accuracy",J32,"")</x:f>
      </x:c>
    </x:row>
    <x:row r="33">
      <x:c r="A33" s="57"/>
      <x:c r="B33" s="20"/>
      <x:c r="C33" s="20"/>
      <x:c r="D33" s="59"/>
      <x:c r="E33" s="20"/>
      <x:c r="F33" s="20"/>
      <x:c r="G33" s="20"/>
      <x:c r="H33" s="59"/>
      <x:c r="I33" s="20"/>
      <x:c r="J33" s="53"/>
      <x:c r="K33" s="53"/>
      <x:c r="L33" s="53"/>
      <x:c r="M33" s="53"/>
      <x:c r="N33" s="55"/>
      <x:c r="O33" s="20"/>
      <x:c r="P33" s="20"/>
      <x:c r="Q33" s="20"/>
      <x:c r="R33" s="20" t="str">
        <x:f>IF(C33="standard",J33,"")</x:f>
      </x:c>
      <x:c r="S33" s="20" t="str">
        <x:f>IF(C33="high_accuracy",J33,"")</x:f>
      </x:c>
    </x:row>
    <x:row r="34">
      <x:c r="A34" s="57"/>
      <x:c r="B34" s="20"/>
      <x:c r="C34" s="20"/>
      <x:c r="D34" s="59"/>
      <x:c r="E34" s="20"/>
      <x:c r="F34" s="20"/>
      <x:c r="G34" s="20"/>
      <x:c r="H34" s="59"/>
      <x:c r="I34" s="20"/>
      <x:c r="J34" s="53"/>
      <x:c r="K34" s="53"/>
      <x:c r="L34" s="53"/>
      <x:c r="M34" s="53"/>
      <x:c r="N34" s="55"/>
      <x:c r="O34" s="20"/>
      <x:c r="P34" s="20"/>
      <x:c r="Q34" s="20"/>
      <x:c r="R34" s="20" t="str">
        <x:f>IF(C34="standard",J34,"")</x:f>
      </x:c>
      <x:c r="S34" s="20" t="str">
        <x:f>IF(C34="high_accuracy",J34,"")</x:f>
      </x:c>
    </x:row>
    <x:row r="35">
      <x:c r="A35" s="57"/>
      <x:c r="B35" s="20"/>
      <x:c r="C35" s="20"/>
      <x:c r="D35" s="59"/>
      <x:c r="E35" s="20"/>
      <x:c r="F35" s="20"/>
      <x:c r="G35" s="20"/>
      <x:c r="H35" s="59"/>
      <x:c r="I35" s="20"/>
      <x:c r="J35" s="53"/>
      <x:c r="K35" s="53"/>
      <x:c r="L35" s="53"/>
      <x:c r="M35" s="53"/>
      <x:c r="N35" s="55"/>
      <x:c r="O35" s="20"/>
      <x:c r="P35" s="20"/>
      <x:c r="Q35" s="20"/>
      <x:c r="R35" s="20" t="str">
        <x:f>IF(C35="standard",J35,"")</x:f>
      </x:c>
      <x:c r="S35" s="20" t="str">
        <x:f>IF(C35="high_accuracy",J35,"")</x:f>
      </x:c>
    </x:row>
    <x:row r="36">
      <x:c r="A36" s="57"/>
      <x:c r="B36" s="20"/>
      <x:c r="C36" s="20"/>
      <x:c r="D36" s="59"/>
      <x:c r="E36" s="20"/>
      <x:c r="F36" s="20"/>
      <x:c r="G36" s="20"/>
      <x:c r="H36" s="59"/>
      <x:c r="I36" s="20"/>
      <x:c r="J36" s="53"/>
      <x:c r="K36" s="53"/>
      <x:c r="L36" s="53"/>
      <x:c r="M36" s="53"/>
      <x:c r="N36" s="55"/>
      <x:c r="O36" s="20"/>
      <x:c r="P36" s="20"/>
      <x:c r="Q36" s="20"/>
      <x:c r="R36" s="20" t="str">
        <x:f>IF(C36="standard",J36,"")</x:f>
      </x:c>
      <x:c r="S36" s="20" t="str">
        <x:f>IF(C36="high_accuracy",J36,"")</x:f>
      </x:c>
    </x:row>
    <x:row r="37">
      <x:c r="A37" s="57"/>
      <x:c r="B37" s="20"/>
      <x:c r="C37" s="20"/>
      <x:c r="D37" s="59"/>
      <x:c r="E37" s="20"/>
      <x:c r="F37" s="20"/>
      <x:c r="G37" s="20"/>
      <x:c r="H37" s="59"/>
      <x:c r="I37" s="20"/>
      <x:c r="J37" s="53"/>
      <x:c r="K37" s="53"/>
      <x:c r="L37" s="53"/>
      <x:c r="M37" s="53"/>
      <x:c r="N37" s="55"/>
      <x:c r="O37" s="20"/>
      <x:c r="P37" s="20"/>
      <x:c r="Q37" s="20"/>
      <x:c r="R37" s="20" t="str">
        <x:f>IF(C37="standard",J37,"")</x:f>
      </x:c>
      <x:c r="S37" s="20" t="str">
        <x:f>IF(C37="high_accuracy",J37,"")</x:f>
      </x:c>
    </x:row>
    <x:row r="38">
      <x:c r="A38" s="57"/>
      <x:c r="B38" s="20"/>
      <x:c r="C38" s="20"/>
      <x:c r="D38" s="59"/>
      <x:c r="E38" s="20"/>
      <x:c r="F38" s="20"/>
      <x:c r="G38" s="20"/>
      <x:c r="H38" s="59"/>
      <x:c r="I38" s="20"/>
      <x:c r="J38" s="53"/>
      <x:c r="K38" s="53"/>
      <x:c r="L38" s="53"/>
      <x:c r="M38" s="53"/>
      <x:c r="N38" s="55"/>
      <x:c r="O38" s="20"/>
      <x:c r="P38" s="20"/>
      <x:c r="Q38" s="20"/>
      <x:c r="R38" s="20" t="str">
        <x:f>IF(C38="standard",J38,"")</x:f>
      </x:c>
      <x:c r="S38" s="20" t="str">
        <x:f>IF(C38="high_accuracy",J38,"")</x:f>
      </x:c>
    </x:row>
    <x:row r="39">
      <x:c r="A39" s="57"/>
      <x:c r="B39" s="20"/>
      <x:c r="C39" s="20"/>
      <x:c r="D39" s="59"/>
      <x:c r="E39" s="20"/>
      <x:c r="F39" s="20"/>
      <x:c r="G39" s="20"/>
      <x:c r="H39" s="59"/>
      <x:c r="I39" s="20"/>
      <x:c r="J39" s="53"/>
      <x:c r="K39" s="53"/>
      <x:c r="L39" s="53"/>
      <x:c r="M39" s="53"/>
      <x:c r="N39" s="55"/>
      <x:c r="O39" s="20"/>
      <x:c r="P39" s="20"/>
      <x:c r="Q39" s="20"/>
      <x:c r="R39" s="20" t="str">
        <x:f>IF(C39="standard",J39,"")</x:f>
      </x:c>
      <x:c r="S39" s="20" t="str">
        <x:f>IF(C39="high_accuracy",J39,"")</x:f>
      </x:c>
    </x:row>
    <x:row r="40">
      <x:c r="A40" s="57"/>
      <x:c r="B40" s="20"/>
      <x:c r="C40" s="20"/>
      <x:c r="D40" s="59"/>
      <x:c r="E40" s="20"/>
      <x:c r="F40" s="20"/>
      <x:c r="G40" s="20"/>
      <x:c r="H40" s="59"/>
      <x:c r="I40" s="20"/>
      <x:c r="J40" s="53"/>
      <x:c r="K40" s="53"/>
      <x:c r="L40" s="53"/>
      <x:c r="M40" s="53"/>
      <x:c r="N40" s="55"/>
      <x:c r="O40" s="20"/>
      <x:c r="P40" s="20"/>
      <x:c r="Q40" s="20"/>
      <x:c r="R40" s="20" t="str">
        <x:f>IF(C40="standard",J40,"")</x:f>
      </x:c>
      <x:c r="S40" s="20" t="str">
        <x:f>IF(C40="high_accuracy",J40,"")</x:f>
      </x:c>
    </x:row>
    <x:row r="41">
      <x:c r="A41" s="57"/>
      <x:c r="B41" s="20"/>
      <x:c r="C41" s="20"/>
      <x:c r="D41" s="59"/>
      <x:c r="E41" s="20"/>
      <x:c r="F41" s="20"/>
      <x:c r="G41" s="20"/>
      <x:c r="H41" s="59"/>
      <x:c r="I41" s="20"/>
      <x:c r="J41" s="53"/>
      <x:c r="K41" s="53"/>
      <x:c r="L41" s="53"/>
      <x:c r="M41" s="53"/>
      <x:c r="N41" s="55"/>
      <x:c r="O41" s="20"/>
      <x:c r="P41" s="20"/>
      <x:c r="Q41" s="20"/>
      <x:c r="R41" s="20" t="str">
        <x:f>IF(C41="standard",J41,"")</x:f>
      </x:c>
      <x:c r="S41" s="20" t="str">
        <x:f>IF(C41="high_accuracy",J41,"")</x:f>
      </x:c>
    </x:row>
    <x:row r="42">
      <x:c r="A42" s="57"/>
      <x:c r="B42" s="20"/>
      <x:c r="C42" s="20"/>
      <x:c r="D42" s="59"/>
      <x:c r="E42" s="20"/>
      <x:c r="F42" s="20"/>
      <x:c r="G42" s="20"/>
      <x:c r="H42" s="59"/>
      <x:c r="I42" s="20"/>
      <x:c r="J42" s="53"/>
      <x:c r="K42" s="53"/>
      <x:c r="L42" s="53"/>
      <x:c r="M42" s="53"/>
      <x:c r="N42" s="55"/>
      <x:c r="O42" s="20"/>
      <x:c r="P42" s="20"/>
      <x:c r="Q42" s="20"/>
      <x:c r="R42" s="20" t="str">
        <x:f>IF(C42="standard",J42,"")</x:f>
      </x:c>
      <x:c r="S42" s="20" t="str">
        <x:f>IF(C42="high_accuracy",J42,"")</x:f>
      </x:c>
    </x:row>
    <x:row r="43">
      <x:c r="A43" s="57"/>
      <x:c r="B43" s="20"/>
      <x:c r="C43" s="20"/>
      <x:c r="D43" s="59"/>
      <x:c r="E43" s="20"/>
      <x:c r="F43" s="20"/>
      <x:c r="G43" s="20"/>
      <x:c r="H43" s="59"/>
      <x:c r="I43" s="20"/>
      <x:c r="J43" s="53"/>
      <x:c r="K43" s="53"/>
      <x:c r="L43" s="53"/>
      <x:c r="M43" s="53"/>
      <x:c r="N43" s="55"/>
      <x:c r="O43" s="20"/>
      <x:c r="P43" s="20"/>
      <x:c r="Q43" s="20"/>
      <x:c r="R43" s="20" t="str">
        <x:f>IF(C43="standard",J43,"")</x:f>
      </x:c>
      <x:c r="S43" s="20" t="str">
        <x:f>IF(C43="high_accuracy",J43,"")</x:f>
      </x:c>
    </x:row>
    <x:row r="44">
      <x:c r="A44" s="57"/>
      <x:c r="B44" s="20"/>
      <x:c r="C44" s="20"/>
      <x:c r="D44" s="59"/>
      <x:c r="E44" s="20"/>
      <x:c r="F44" s="20"/>
      <x:c r="G44" s="20"/>
      <x:c r="H44" s="59"/>
      <x:c r="I44" s="20"/>
      <x:c r="J44" s="53"/>
      <x:c r="K44" s="53"/>
      <x:c r="L44" s="53"/>
      <x:c r="M44" s="53"/>
      <x:c r="N44" s="55"/>
      <x:c r="O44" s="20"/>
      <x:c r="P44" s="20"/>
      <x:c r="Q44" s="20"/>
      <x:c r="R44" s="20" t="str">
        <x:f>IF(C44="standard",J44,"")</x:f>
      </x:c>
      <x:c r="S44" s="20" t="str">
        <x:f>IF(C44="high_accuracy",J44,"")</x:f>
      </x:c>
    </x:row>
    <x:row r="45">
      <x:c r="A45" s="57"/>
      <x:c r="B45" s="20"/>
      <x:c r="C45" s="20"/>
      <x:c r="D45" s="59"/>
      <x:c r="E45" s="20"/>
      <x:c r="F45" s="20"/>
      <x:c r="G45" s="20"/>
      <x:c r="H45" s="59"/>
      <x:c r="I45" s="20"/>
      <x:c r="J45" s="53"/>
      <x:c r="K45" s="53"/>
      <x:c r="L45" s="53"/>
      <x:c r="M45" s="53"/>
      <x:c r="N45" s="55"/>
      <x:c r="O45" s="20"/>
      <x:c r="P45" s="20"/>
      <x:c r="Q45" s="20"/>
      <x:c r="R45" s="20" t="str">
        <x:f>IF(C45="standard",J45,"")</x:f>
      </x:c>
      <x:c r="S45" s="20" t="str">
        <x:f>IF(C45="high_accuracy",J45,"")</x:f>
      </x:c>
    </x:row>
    <x:row r="46">
      <x:c r="A46" s="57"/>
      <x:c r="B46" s="20"/>
      <x:c r="C46" s="20"/>
      <x:c r="D46" s="59"/>
      <x:c r="E46" s="20"/>
      <x:c r="F46" s="20"/>
      <x:c r="G46" s="20"/>
      <x:c r="H46" s="59"/>
      <x:c r="I46" s="20"/>
      <x:c r="J46" s="53"/>
      <x:c r="K46" s="53"/>
      <x:c r="L46" s="53"/>
      <x:c r="M46" s="53"/>
      <x:c r="N46" s="55"/>
      <x:c r="O46" s="20"/>
      <x:c r="P46" s="20"/>
      <x:c r="Q46" s="20"/>
      <x:c r="R46" s="20" t="str">
        <x:f>IF(C46="standard",J46,"")</x:f>
      </x:c>
      <x:c r="S46" s="20" t="str">
        <x:f>IF(C46="high_accuracy",J46,"")</x:f>
      </x:c>
    </x:row>
    <x:row r="47">
      <x:c r="A47" s="57"/>
      <x:c r="B47" s="20"/>
      <x:c r="C47" s="20"/>
      <x:c r="D47" s="59"/>
      <x:c r="E47" s="20"/>
      <x:c r="F47" s="20"/>
      <x:c r="G47" s="20"/>
      <x:c r="H47" s="59"/>
      <x:c r="I47" s="20"/>
      <x:c r="J47" s="53"/>
      <x:c r="K47" s="53"/>
      <x:c r="L47" s="53"/>
      <x:c r="M47" s="53"/>
      <x:c r="N47" s="55"/>
      <x:c r="O47" s="20"/>
      <x:c r="P47" s="20"/>
      <x:c r="Q47" s="20"/>
      <x:c r="R47" s="20" t="str">
        <x:f>IF(C47="standard",J47,"")</x:f>
      </x:c>
      <x:c r="S47" s="20" t="str">
        <x:f>IF(C47="high_accuracy",J47,"")</x:f>
      </x:c>
    </x:row>
    <x:row r="48">
      <x:c r="A48" s="57"/>
      <x:c r="B48" s="20"/>
      <x:c r="C48" s="20"/>
      <x:c r="D48" s="59"/>
      <x:c r="E48" s="20"/>
      <x:c r="F48" s="20"/>
      <x:c r="G48" s="20"/>
      <x:c r="H48" s="59"/>
      <x:c r="I48" s="20"/>
      <x:c r="J48" s="53"/>
      <x:c r="K48" s="53"/>
      <x:c r="L48" s="53"/>
      <x:c r="M48" s="53"/>
      <x:c r="N48" s="55"/>
      <x:c r="O48" s="20"/>
      <x:c r="P48" s="20"/>
      <x:c r="Q48" s="20"/>
      <x:c r="R48" s="20" t="str">
        <x:f>IF(C48="standard",J48,"")</x:f>
      </x:c>
      <x:c r="S48" s="20" t="str">
        <x:f>IF(C48="high_accuracy",J48,"")</x:f>
      </x:c>
    </x:row>
    <x:row r="49">
      <x:c r="A49" s="57"/>
      <x:c r="B49" s="20"/>
      <x:c r="C49" s="20"/>
      <x:c r="D49" s="59"/>
      <x:c r="E49" s="20"/>
      <x:c r="F49" s="20"/>
      <x:c r="G49" s="20"/>
      <x:c r="H49" s="59"/>
      <x:c r="I49" s="20"/>
      <x:c r="J49" s="53"/>
      <x:c r="K49" s="53"/>
      <x:c r="L49" s="53"/>
      <x:c r="M49" s="53"/>
      <x:c r="N49" s="55"/>
      <x:c r="O49" s="20"/>
      <x:c r="P49" s="20"/>
      <x:c r="Q49" s="20"/>
      <x:c r="R49" s="20" t="str">
        <x:f>IF(C49="standard",J49,"")</x:f>
      </x:c>
      <x:c r="S49" s="20" t="str">
        <x:f>IF(C49="high_accuracy",J49,"")</x:f>
      </x:c>
    </x:row>
    <x:row r="50">
      <x:c r="A50" s="57"/>
      <x:c r="B50" s="20"/>
      <x:c r="C50" s="20"/>
      <x:c r="D50" s="59"/>
      <x:c r="E50" s="20"/>
      <x:c r="F50" s="20"/>
      <x:c r="G50" s="20"/>
      <x:c r="H50" s="59"/>
      <x:c r="I50" s="20"/>
      <x:c r="J50" s="53"/>
      <x:c r="K50" s="53"/>
      <x:c r="L50" s="53"/>
      <x:c r="M50" s="53"/>
      <x:c r="N50" s="55"/>
      <x:c r="O50" s="20"/>
      <x:c r="P50" s="20"/>
      <x:c r="Q50" s="20"/>
      <x:c r="R50" s="20" t="str">
        <x:f>IF(C50="standard",J50,"")</x:f>
      </x:c>
      <x:c r="S50" s="20" t="str">
        <x:f>IF(C50="high_accuracy",J50,"")</x:f>
      </x:c>
    </x:row>
    <x:row r="51">
      <x:c r="A51" s="57"/>
      <x:c r="B51" s="20"/>
      <x:c r="C51" s="20"/>
      <x:c r="D51" s="59"/>
      <x:c r="E51" s="20"/>
      <x:c r="F51" s="20"/>
      <x:c r="G51" s="20"/>
      <x:c r="H51" s="59"/>
      <x:c r="I51" s="20"/>
      <x:c r="J51" s="53"/>
      <x:c r="K51" s="53"/>
      <x:c r="L51" s="53"/>
      <x:c r="M51" s="53"/>
      <x:c r="N51" s="55"/>
      <x:c r="O51" s="20"/>
      <x:c r="P51" s="20"/>
      <x:c r="Q51" s="20"/>
      <x:c r="R51" s="20" t="str">
        <x:f>IF(C51="standard",J51,"")</x:f>
      </x:c>
      <x:c r="S51" s="20" t="str">
        <x:f>IF(C51="high_accuracy",J51,"")</x:f>
      </x:c>
    </x:row>
    <x:row r="52">
      <x:c r="A52" s="57"/>
      <x:c r="B52" s="20"/>
      <x:c r="C52" s="20"/>
      <x:c r="D52" s="59"/>
      <x:c r="E52" s="20"/>
      <x:c r="F52" s="20"/>
      <x:c r="G52" s="20"/>
      <x:c r="H52" s="59"/>
      <x:c r="I52" s="20"/>
      <x:c r="J52" s="53"/>
      <x:c r="K52" s="53"/>
      <x:c r="L52" s="53"/>
      <x:c r="M52" s="53"/>
      <x:c r="N52" s="55"/>
      <x:c r="O52" s="20"/>
      <x:c r="P52" s="20"/>
      <x:c r="Q52" s="20"/>
      <x:c r="R52" s="20" t="str">
        <x:f>IF(C52="standard",J52,"")</x:f>
      </x:c>
      <x:c r="S52" s="20" t="str">
        <x:f>IF(C52="high_accuracy",J52,"")</x:f>
      </x:c>
    </x:row>
    <x:row r="53">
      <x:c r="A53" s="57"/>
      <x:c r="B53" s="20"/>
      <x:c r="C53" s="20"/>
      <x:c r="D53" s="59"/>
      <x:c r="E53" s="20"/>
      <x:c r="F53" s="20"/>
      <x:c r="G53" s="20"/>
      <x:c r="H53" s="59"/>
      <x:c r="I53" s="20"/>
      <x:c r="J53" s="53"/>
      <x:c r="K53" s="53"/>
      <x:c r="L53" s="53"/>
      <x:c r="M53" s="53"/>
      <x:c r="N53" s="55"/>
      <x:c r="O53" s="20"/>
      <x:c r="P53" s="20"/>
      <x:c r="Q53" s="20"/>
      <x:c r="R53" s="20" t="str">
        <x:f>IF(C53="standard",J53,"")</x:f>
      </x:c>
      <x:c r="S53" s="20" t="str">
        <x:f>IF(C53="high_accuracy",J53,"")</x:f>
      </x:c>
    </x:row>
    <x:row r="54">
      <x:c r="A54" s="57"/>
      <x:c r="B54" s="20"/>
      <x:c r="C54" s="20"/>
      <x:c r="D54" s="59"/>
      <x:c r="E54" s="20"/>
      <x:c r="F54" s="20"/>
      <x:c r="G54" s="20"/>
      <x:c r="H54" s="59"/>
      <x:c r="I54" s="20"/>
      <x:c r="J54" s="53"/>
      <x:c r="K54" s="53"/>
      <x:c r="L54" s="53"/>
      <x:c r="M54" s="53"/>
      <x:c r="N54" s="55"/>
      <x:c r="O54" s="20"/>
      <x:c r="P54" s="20"/>
      <x:c r="Q54" s="20"/>
      <x:c r="R54" s="20" t="str">
        <x:f>IF(C54="standard",J54,"")</x:f>
      </x:c>
      <x:c r="S54" s="20" t="str">
        <x:f>IF(C54="high_accuracy",J54,"")</x:f>
      </x:c>
    </x:row>
    <x:row r="55">
      <x:c r="A55" s="57"/>
      <x:c r="B55" s="20"/>
      <x:c r="C55" s="20"/>
      <x:c r="D55" s="59"/>
      <x:c r="E55" s="20"/>
      <x:c r="F55" s="20"/>
      <x:c r="G55" s="20"/>
      <x:c r="H55" s="59"/>
      <x:c r="I55" s="20"/>
      <x:c r="J55" s="53"/>
      <x:c r="K55" s="53"/>
      <x:c r="L55" s="53"/>
      <x:c r="M55" s="53"/>
      <x:c r="N55" s="55"/>
      <x:c r="O55" s="20"/>
      <x:c r="P55" s="20"/>
      <x:c r="Q55" s="20"/>
      <x:c r="R55" s="20" t="str">
        <x:f>IF(C55="standard",J55,"")</x:f>
      </x:c>
      <x:c r="S55" s="20" t="str">
        <x:f>IF(C55="high_accuracy",J55,"")</x:f>
      </x:c>
    </x:row>
    <x:row r="56">
      <x:c r="A56" s="57"/>
      <x:c r="B56" s="20"/>
      <x:c r="C56" s="20"/>
      <x:c r="D56" s="59"/>
      <x:c r="E56" s="20"/>
      <x:c r="F56" s="20"/>
      <x:c r="G56" s="20"/>
      <x:c r="H56" s="59"/>
      <x:c r="I56" s="20"/>
      <x:c r="J56" s="53"/>
      <x:c r="K56" s="53"/>
      <x:c r="L56" s="53"/>
      <x:c r="M56" s="53"/>
      <x:c r="N56" s="55"/>
      <x:c r="O56" s="20"/>
      <x:c r="P56" s="20"/>
      <x:c r="Q56" s="20"/>
      <x:c r="R56" s="20" t="str">
        <x:f>IF(C56="standard",J56,"")</x:f>
      </x:c>
      <x:c r="S56" s="20" t="str">
        <x:f>IF(C56="high_accuracy",J56,"")</x:f>
      </x:c>
    </x:row>
    <x:row r="57">
      <x:c r="A57" s="57"/>
      <x:c r="B57" s="20"/>
      <x:c r="C57" s="20"/>
      <x:c r="D57" s="59"/>
      <x:c r="E57" s="20"/>
      <x:c r="F57" s="20"/>
      <x:c r="G57" s="20"/>
      <x:c r="H57" s="59"/>
      <x:c r="I57" s="20"/>
      <x:c r="J57" s="53"/>
      <x:c r="K57" s="53"/>
      <x:c r="L57" s="53"/>
      <x:c r="M57" s="53"/>
      <x:c r="N57" s="55"/>
      <x:c r="O57" s="20"/>
      <x:c r="P57" s="20"/>
      <x:c r="Q57" s="20"/>
      <x:c r="R57" s="20" t="str">
        <x:f>IF(C57="standard",J57,"")</x:f>
      </x:c>
      <x:c r="S57" s="20" t="str">
        <x:f>IF(C57="high_accuracy",J57,"")</x:f>
      </x:c>
    </x:row>
    <x:row r="58">
      <x:c r="A58" s="57"/>
      <x:c r="B58" s="20"/>
      <x:c r="C58" s="20"/>
      <x:c r="D58" s="59"/>
      <x:c r="E58" s="20"/>
      <x:c r="F58" s="20"/>
      <x:c r="G58" s="20"/>
      <x:c r="H58" s="59"/>
      <x:c r="I58" s="20"/>
      <x:c r="J58" s="53"/>
      <x:c r="K58" s="53"/>
      <x:c r="L58" s="53"/>
      <x:c r="M58" s="53"/>
      <x:c r="N58" s="55"/>
      <x:c r="O58" s="20"/>
      <x:c r="P58" s="20"/>
      <x:c r="Q58" s="20"/>
      <x:c r="R58" s="20" t="str">
        <x:f>IF(C58="standard",J58,"")</x:f>
      </x:c>
      <x:c r="S58" s="20" t="str">
        <x:f>IF(C58="high_accuracy",J58,"")</x:f>
      </x:c>
    </x:row>
    <x:row r="59">
      <x:c r="A59" s="57"/>
      <x:c r="B59" s="20"/>
      <x:c r="C59" s="20"/>
      <x:c r="D59" s="59"/>
      <x:c r="E59" s="20"/>
      <x:c r="F59" s="20"/>
      <x:c r="G59" s="20"/>
      <x:c r="H59" s="59"/>
      <x:c r="I59" s="20"/>
      <x:c r="J59" s="53"/>
      <x:c r="K59" s="53"/>
      <x:c r="L59" s="53"/>
      <x:c r="M59" s="53"/>
      <x:c r="N59" s="55"/>
      <x:c r="O59" s="20"/>
      <x:c r="P59" s="20"/>
      <x:c r="Q59" s="20"/>
      <x:c r="R59" s="20" t="str">
        <x:f>IF(C59="standard",J59,"")</x:f>
      </x:c>
      <x:c r="S59" s="20" t="str">
        <x:f>IF(C59="high_accuracy",J59,"")</x:f>
      </x:c>
    </x:row>
    <x:row r="60">
      <x:c r="A60" s="57"/>
      <x:c r="B60" s="20"/>
      <x:c r="C60" s="20"/>
      <x:c r="D60" s="59"/>
      <x:c r="E60" s="20"/>
      <x:c r="F60" s="20"/>
      <x:c r="G60" s="20"/>
      <x:c r="H60" s="59"/>
      <x:c r="I60" s="20"/>
      <x:c r="J60" s="53"/>
      <x:c r="K60" s="53"/>
      <x:c r="L60" s="53"/>
      <x:c r="M60" s="53"/>
      <x:c r="N60" s="55"/>
      <x:c r="O60" s="20"/>
      <x:c r="P60" s="20"/>
      <x:c r="Q60" s="20"/>
      <x:c r="R60" s="20" t="str">
        <x:f>IF(C60="standard",J60,"")</x:f>
      </x:c>
      <x:c r="S60" s="20" t="str">
        <x:f>IF(C60="high_accuracy",J60,"")</x:f>
      </x:c>
    </x:row>
    <x:row r="61">
      <x:c r="A61" s="57"/>
      <x:c r="B61" s="20"/>
      <x:c r="C61" s="20"/>
      <x:c r="D61" s="59"/>
      <x:c r="E61" s="20"/>
      <x:c r="F61" s="20"/>
      <x:c r="G61" s="20"/>
      <x:c r="H61" s="59"/>
      <x:c r="I61" s="20"/>
      <x:c r="J61" s="53"/>
      <x:c r="K61" s="53"/>
      <x:c r="L61" s="53"/>
      <x:c r="M61" s="53"/>
      <x:c r="N61" s="55"/>
      <x:c r="O61" s="20"/>
      <x:c r="P61" s="20"/>
      <x:c r="Q61" s="20"/>
      <x:c r="R61" s="20" t="str">
        <x:f>IF(C61="standard",J61,"")</x:f>
      </x:c>
      <x:c r="S61" s="20" t="str">
        <x:f>IF(C61="high_accuracy",J61,"")</x:f>
      </x:c>
    </x:row>
    <x:row r="62">
      <x:c r="A62" s="57"/>
      <x:c r="B62" s="20"/>
      <x:c r="C62" s="20"/>
      <x:c r="D62" s="59"/>
      <x:c r="E62" s="20"/>
      <x:c r="F62" s="20"/>
      <x:c r="G62" s="20"/>
      <x:c r="H62" s="59"/>
      <x:c r="I62" s="20"/>
      <x:c r="J62" s="53"/>
      <x:c r="K62" s="53"/>
      <x:c r="L62" s="53"/>
      <x:c r="M62" s="53"/>
      <x:c r="N62" s="55"/>
      <x:c r="O62" s="20"/>
      <x:c r="P62" s="20"/>
      <x:c r="Q62" s="20"/>
      <x:c r="R62" s="20" t="str">
        <x:f>IF(C62="standard",J62,"")</x:f>
      </x:c>
      <x:c r="S62" s="20" t="str">
        <x:f>IF(C62="high_accuracy",J62,"")</x:f>
      </x:c>
    </x:row>
    <x:row r="63">
      <x:c r="A63" s="57"/>
      <x:c r="B63" s="20"/>
      <x:c r="C63" s="20"/>
      <x:c r="D63" s="59"/>
      <x:c r="E63" s="20"/>
      <x:c r="F63" s="20"/>
      <x:c r="G63" s="20"/>
      <x:c r="H63" s="59"/>
      <x:c r="I63" s="20"/>
      <x:c r="J63" s="53"/>
      <x:c r="K63" s="53"/>
      <x:c r="L63" s="53"/>
      <x:c r="M63" s="53"/>
      <x:c r="N63" s="55"/>
      <x:c r="O63" s="20"/>
      <x:c r="P63" s="20"/>
      <x:c r="Q63" s="20"/>
      <x:c r="R63" s="20" t="str">
        <x:f>IF(C63="standard",J63,"")</x:f>
      </x:c>
      <x:c r="S63" s="20" t="str">
        <x:f>IF(C63="high_accuracy",J63,"")</x:f>
      </x:c>
    </x:row>
    <x:row r="64">
      <x:c r="A64" s="57"/>
      <x:c r="B64" s="20"/>
      <x:c r="C64" s="20"/>
      <x:c r="D64" s="59"/>
      <x:c r="E64" s="20"/>
      <x:c r="F64" s="20"/>
      <x:c r="G64" s="20"/>
      <x:c r="H64" s="59"/>
      <x:c r="I64" s="20"/>
      <x:c r="J64" s="53"/>
      <x:c r="K64" s="53"/>
      <x:c r="L64" s="53"/>
      <x:c r="M64" s="53"/>
      <x:c r="N64" s="55"/>
      <x:c r="O64" s="20"/>
      <x:c r="P64" s="20"/>
      <x:c r="Q64" s="20"/>
      <x:c r="R64" s="20" t="str">
        <x:f>IF(C64="standard",J64,"")</x:f>
      </x:c>
      <x:c r="S64" s="20" t="str">
        <x:f>IF(C64="high_accuracy",J64,"")</x:f>
      </x:c>
    </x:row>
    <x:row r="65">
      <x:c r="A65" s="57"/>
      <x:c r="B65" s="20"/>
      <x:c r="C65" s="20"/>
      <x:c r="D65" s="59"/>
      <x:c r="E65" s="20"/>
      <x:c r="F65" s="20"/>
      <x:c r="G65" s="20"/>
      <x:c r="H65" s="59"/>
      <x:c r="I65" s="20"/>
      <x:c r="J65" s="53"/>
      <x:c r="K65" s="53"/>
      <x:c r="L65" s="53"/>
      <x:c r="M65" s="53"/>
      <x:c r="N65" s="55"/>
      <x:c r="O65" s="20"/>
      <x:c r="P65" s="20"/>
      <x:c r="Q65" s="20"/>
      <x:c r="R65" s="20" t="str">
        <x:f>IF(C65="standard",J65,"")</x:f>
      </x:c>
      <x:c r="S65" s="20" t="str">
        <x:f>IF(C65="high_accuracy",J65,"")</x:f>
      </x:c>
    </x:row>
    <x:row r="66">
      <x:c r="A66" s="57"/>
      <x:c r="B66" s="20"/>
      <x:c r="C66" s="20"/>
      <x:c r="D66" s="59"/>
      <x:c r="E66" s="20"/>
      <x:c r="F66" s="20"/>
      <x:c r="G66" s="20"/>
      <x:c r="H66" s="59"/>
      <x:c r="I66" s="20"/>
      <x:c r="J66" s="53"/>
      <x:c r="K66" s="53"/>
      <x:c r="L66" s="53"/>
      <x:c r="M66" s="53"/>
      <x:c r="N66" s="55"/>
      <x:c r="O66" s="20"/>
      <x:c r="P66" s="20"/>
      <x:c r="Q66" s="20"/>
      <x:c r="R66" s="20" t="str">
        <x:f>IF(C66="standard",J66,"")</x:f>
      </x:c>
      <x:c r="S66" s="20" t="str">
        <x:f>IF(C66="high_accuracy",J66,"")</x:f>
      </x:c>
    </x:row>
    <x:row r="67">
      <x:c r="A67" s="57"/>
      <x:c r="B67" s="20"/>
      <x:c r="C67" s="20"/>
      <x:c r="D67" s="59"/>
      <x:c r="E67" s="20"/>
      <x:c r="F67" s="20"/>
      <x:c r="G67" s="20"/>
      <x:c r="H67" s="59"/>
      <x:c r="I67" s="20"/>
      <x:c r="J67" s="53"/>
      <x:c r="K67" s="53"/>
      <x:c r="L67" s="53"/>
      <x:c r="M67" s="53"/>
      <x:c r="N67" s="55"/>
      <x:c r="O67" s="20"/>
      <x:c r="P67" s="20"/>
      <x:c r="Q67" s="20"/>
      <x:c r="R67" s="20" t="str">
        <x:f>IF(C67="standard",J67,"")</x:f>
      </x:c>
      <x:c r="S67" s="20" t="str">
        <x:f>IF(C67="high_accuracy",J67,"")</x:f>
      </x:c>
    </x:row>
    <x:row r="68">
      <x:c r="A68" s="57"/>
      <x:c r="B68" s="20"/>
      <x:c r="C68" s="20"/>
      <x:c r="D68" s="59"/>
      <x:c r="E68" s="20"/>
      <x:c r="F68" s="20"/>
      <x:c r="G68" s="20"/>
      <x:c r="H68" s="59"/>
      <x:c r="I68" s="20"/>
      <x:c r="J68" s="53"/>
      <x:c r="K68" s="53"/>
      <x:c r="L68" s="53"/>
      <x:c r="M68" s="53"/>
      <x:c r="N68" s="55"/>
      <x:c r="O68" s="20"/>
      <x:c r="P68" s="20"/>
      <x:c r="Q68" s="20"/>
      <x:c r="R68" s="20" t="str">
        <x:f>IF(C68="standard",J68,"")</x:f>
      </x:c>
      <x:c r="S68" s="20" t="str">
        <x:f>IF(C68="high_accuracy",J68,"")</x:f>
      </x:c>
    </x:row>
    <x:row r="69">
      <x:c r="A69" s="57"/>
      <x:c r="B69" s="20"/>
      <x:c r="C69" s="20"/>
      <x:c r="D69" s="59"/>
      <x:c r="E69" s="20"/>
      <x:c r="F69" s="20"/>
      <x:c r="G69" s="20"/>
      <x:c r="H69" s="59"/>
      <x:c r="I69" s="20"/>
      <x:c r="J69" s="53"/>
      <x:c r="K69" s="53"/>
      <x:c r="L69" s="53"/>
      <x:c r="M69" s="53"/>
      <x:c r="N69" s="55"/>
      <x:c r="O69" s="20"/>
      <x:c r="P69" s="20"/>
      <x:c r="Q69" s="20"/>
      <x:c r="R69" s="20" t="str">
        <x:f>IF(C69="standard",J69,"")</x:f>
      </x:c>
      <x:c r="S69" s="20" t="str">
        <x:f>IF(C69="high_accuracy",J69,"")</x:f>
      </x:c>
    </x:row>
    <x:row r="70">
      <x:c r="A70" s="57"/>
      <x:c r="B70" s="20"/>
      <x:c r="C70" s="20"/>
      <x:c r="D70" s="59"/>
      <x:c r="E70" s="20"/>
      <x:c r="F70" s="20"/>
      <x:c r="G70" s="20"/>
      <x:c r="H70" s="59"/>
      <x:c r="I70" s="20"/>
      <x:c r="J70" s="53"/>
      <x:c r="K70" s="53"/>
      <x:c r="L70" s="53"/>
      <x:c r="M70" s="53"/>
      <x:c r="N70" s="55"/>
      <x:c r="O70" s="20"/>
      <x:c r="P70" s="20"/>
      <x:c r="Q70" s="20"/>
      <x:c r="R70" s="20" t="str">
        <x:f>IF(C70="standard",J70,"")</x:f>
      </x:c>
      <x:c r="S70" s="20" t="str">
        <x:f>IF(C70="high_accuracy",J70,"")</x:f>
      </x:c>
    </x:row>
    <x:row r="71">
      <x:c r="A71" s="57"/>
      <x:c r="B71" s="20"/>
      <x:c r="C71" s="20"/>
      <x:c r="D71" s="59"/>
      <x:c r="E71" s="20"/>
      <x:c r="F71" s="20"/>
      <x:c r="G71" s="20"/>
      <x:c r="H71" s="59"/>
      <x:c r="I71" s="20"/>
      <x:c r="J71" s="53"/>
      <x:c r="K71" s="53"/>
      <x:c r="L71" s="53"/>
      <x:c r="M71" s="53"/>
      <x:c r="N71" s="55"/>
      <x:c r="O71" s="20"/>
      <x:c r="P71" s="20"/>
      <x:c r="Q71" s="20"/>
      <x:c r="R71" s="20" t="str">
        <x:f>IF(C71="standard",J71,"")</x:f>
      </x:c>
      <x:c r="S71" s="20" t="str">
        <x:f>IF(C71="high_accuracy",J71,"")</x:f>
      </x:c>
    </x:row>
    <x:row r="72">
      <x:c r="A72" s="57"/>
      <x:c r="B72" s="20"/>
      <x:c r="C72" s="20"/>
      <x:c r="D72" s="59"/>
      <x:c r="E72" s="20"/>
      <x:c r="F72" s="20"/>
      <x:c r="G72" s="20"/>
      <x:c r="H72" s="59"/>
      <x:c r="I72" s="20"/>
      <x:c r="J72" s="53"/>
      <x:c r="K72" s="53"/>
      <x:c r="L72" s="53"/>
      <x:c r="M72" s="53"/>
      <x:c r="N72" s="55"/>
      <x:c r="O72" s="20"/>
      <x:c r="P72" s="20"/>
      <x:c r="Q72" s="20"/>
      <x:c r="R72" s="20" t="str">
        <x:f>IF(C72="standard",J72,"")</x:f>
      </x:c>
      <x:c r="S72" s="20" t="str">
        <x:f>IF(C72="high_accuracy",J72,"")</x:f>
      </x:c>
    </x:row>
    <x:row r="73">
      <x:c r="A73" s="57"/>
      <x:c r="B73" s="20"/>
      <x:c r="C73" s="20"/>
      <x:c r="D73" s="59"/>
      <x:c r="E73" s="20"/>
      <x:c r="F73" s="20"/>
      <x:c r="G73" s="20"/>
      <x:c r="H73" s="59"/>
      <x:c r="I73" s="20"/>
      <x:c r="J73" s="53"/>
      <x:c r="K73" s="53"/>
      <x:c r="L73" s="53"/>
      <x:c r="M73" s="53"/>
      <x:c r="N73" s="55"/>
      <x:c r="O73" s="20"/>
      <x:c r="P73" s="20"/>
      <x:c r="Q73" s="20"/>
      <x:c r="R73" s="20" t="str">
        <x:f>IF(C73="standard",J73,"")</x:f>
      </x:c>
      <x:c r="S73" s="20" t="str">
        <x:f>IF(C73="high_accuracy",J73,"")</x:f>
      </x:c>
    </x:row>
    <x:row r="74">
      <x:c r="A74" s="57"/>
      <x:c r="B74" s="20"/>
      <x:c r="C74" s="20"/>
      <x:c r="D74" s="59"/>
      <x:c r="E74" s="20"/>
      <x:c r="F74" s="20"/>
      <x:c r="G74" s="20"/>
      <x:c r="H74" s="59"/>
      <x:c r="I74" s="20"/>
      <x:c r="J74" s="53"/>
      <x:c r="K74" s="53"/>
      <x:c r="L74" s="53"/>
      <x:c r="M74" s="53"/>
      <x:c r="N74" s="55"/>
      <x:c r="O74" s="20"/>
      <x:c r="P74" s="20"/>
      <x:c r="Q74" s="20"/>
      <x:c r="R74" s="20" t="str">
        <x:f>IF(C74="standard",J74,"")</x:f>
      </x:c>
      <x:c r="S74" s="20" t="str">
        <x:f>IF(C74="high_accuracy",J74,"")</x:f>
      </x:c>
    </x:row>
    <x:row r="75">
      <x:c r="A75" s="57"/>
      <x:c r="B75" s="20"/>
      <x:c r="C75" s="20"/>
      <x:c r="D75" s="59"/>
      <x:c r="E75" s="20"/>
      <x:c r="F75" s="20"/>
      <x:c r="G75" s="20"/>
      <x:c r="H75" s="59"/>
      <x:c r="I75" s="20"/>
      <x:c r="J75" s="53"/>
      <x:c r="K75" s="53"/>
      <x:c r="L75" s="53"/>
      <x:c r="M75" s="53"/>
      <x:c r="N75" s="55"/>
      <x:c r="O75" s="20"/>
      <x:c r="P75" s="20"/>
      <x:c r="Q75" s="20"/>
      <x:c r="R75" s="20" t="str">
        <x:f>IF(C75="standard",J75,"")</x:f>
      </x:c>
      <x:c r="S75" s="20" t="str">
        <x:f>IF(C75="high_accuracy",J75,"")</x:f>
      </x:c>
    </x:row>
    <x:row r="76">
      <x:c r="A76" s="57"/>
      <x:c r="B76" s="20"/>
      <x:c r="C76" s="20"/>
      <x:c r="D76" s="59"/>
      <x:c r="E76" s="20"/>
      <x:c r="F76" s="20"/>
      <x:c r="G76" s="20"/>
      <x:c r="H76" s="59"/>
      <x:c r="I76" s="20"/>
      <x:c r="J76" s="53"/>
      <x:c r="K76" s="53"/>
      <x:c r="L76" s="53"/>
      <x:c r="M76" s="53"/>
      <x:c r="N76" s="55"/>
      <x:c r="O76" s="20"/>
      <x:c r="P76" s="20"/>
      <x:c r="Q76" s="20"/>
      <x:c r="R76" s="20" t="str">
        <x:f>IF(C76="standard",J76,"")</x:f>
      </x:c>
      <x:c r="S76" s="20" t="str">
        <x:f>IF(C76="high_accuracy",J76,"")</x:f>
      </x:c>
    </x:row>
    <x:row r="77">
      <x:c r="A77" s="57"/>
      <x:c r="B77" s="20"/>
      <x:c r="C77" s="20"/>
      <x:c r="D77" s="59"/>
      <x:c r="E77" s="20"/>
      <x:c r="F77" s="20"/>
      <x:c r="G77" s="20"/>
      <x:c r="H77" s="59"/>
      <x:c r="I77" s="20"/>
      <x:c r="J77" s="53"/>
      <x:c r="K77" s="53"/>
      <x:c r="L77" s="53"/>
      <x:c r="M77" s="53"/>
      <x:c r="N77" s="55"/>
      <x:c r="O77" s="20"/>
      <x:c r="P77" s="20"/>
      <x:c r="Q77" s="20"/>
      <x:c r="R77" s="20" t="str">
        <x:f>IF(C77="standard",J77,"")</x:f>
      </x:c>
      <x:c r="S77" s="20" t="str">
        <x:f>IF(C77="high_accuracy",J77,"")</x:f>
      </x:c>
    </x:row>
    <x:row r="78">
      <x:c r="A78" s="57"/>
      <x:c r="B78" s="20"/>
      <x:c r="C78" s="20"/>
      <x:c r="D78" s="59"/>
      <x:c r="E78" s="20"/>
      <x:c r="F78" s="20"/>
      <x:c r="G78" s="20"/>
      <x:c r="H78" s="59"/>
      <x:c r="I78" s="20"/>
      <x:c r="J78" s="53"/>
      <x:c r="K78" s="53"/>
      <x:c r="L78" s="53"/>
      <x:c r="M78" s="53"/>
      <x:c r="N78" s="55"/>
      <x:c r="O78" s="20"/>
      <x:c r="P78" s="20"/>
      <x:c r="Q78" s="20"/>
      <x:c r="R78" s="20" t="str">
        <x:f>IF(C78="standard",J78,"")</x:f>
      </x:c>
      <x:c r="S78" s="20" t="str">
        <x:f>IF(C78="high_accuracy",J78,"")</x:f>
      </x:c>
    </x:row>
    <x:row r="79">
      <x:c r="A79" s="57"/>
      <x:c r="B79" s="20"/>
      <x:c r="C79" s="20"/>
      <x:c r="D79" s="59"/>
      <x:c r="E79" s="20"/>
      <x:c r="F79" s="20"/>
      <x:c r="G79" s="20"/>
      <x:c r="H79" s="59"/>
      <x:c r="I79" s="20"/>
      <x:c r="J79" s="53"/>
      <x:c r="K79" s="53"/>
      <x:c r="L79" s="53"/>
      <x:c r="M79" s="53"/>
      <x:c r="N79" s="55"/>
      <x:c r="O79" s="20"/>
      <x:c r="P79" s="20"/>
      <x:c r="Q79" s="20"/>
      <x:c r="R79" s="20" t="str">
        <x:f>IF(C79="standard",J79,"")</x:f>
      </x:c>
      <x:c r="S79" s="20" t="str">
        <x:f>IF(C79="high_accuracy",J79,"")</x:f>
      </x:c>
    </x:row>
    <x:row r="80">
      <x:c r="A80" s="57"/>
      <x:c r="B80" s="20"/>
      <x:c r="C80" s="20"/>
      <x:c r="D80" s="59"/>
      <x:c r="E80" s="20"/>
      <x:c r="F80" s="20"/>
      <x:c r="G80" s="20"/>
      <x:c r="H80" s="59"/>
      <x:c r="I80" s="20"/>
      <x:c r="J80" s="53"/>
      <x:c r="K80" s="53"/>
      <x:c r="L80" s="53"/>
      <x:c r="M80" s="53"/>
      <x:c r="N80" s="55"/>
      <x:c r="O80" s="20"/>
      <x:c r="P80" s="20"/>
      <x:c r="Q80" s="20"/>
      <x:c r="R80" s="20" t="str">
        <x:f>IF(C80="standard",J80,"")</x:f>
      </x:c>
      <x:c r="S80" s="20" t="str">
        <x:f>IF(C80="high_accuracy",J80,"")</x:f>
      </x:c>
    </x:row>
    <x:row r="81">
      <x:c r="A81" s="57"/>
      <x:c r="B81" s="20"/>
      <x:c r="C81" s="20"/>
      <x:c r="D81" s="59"/>
      <x:c r="E81" s="20"/>
      <x:c r="F81" s="20"/>
      <x:c r="G81" s="20"/>
      <x:c r="H81" s="59"/>
      <x:c r="I81" s="20"/>
      <x:c r="J81" s="53"/>
      <x:c r="K81" s="53"/>
      <x:c r="L81" s="53"/>
      <x:c r="M81" s="53"/>
      <x:c r="N81" s="55"/>
      <x:c r="O81" s="20"/>
      <x:c r="P81" s="20"/>
      <x:c r="Q81" s="20"/>
      <x:c r="R81" s="20" t="str">
        <x:f>IF(C81="standard",J81,"")</x:f>
      </x:c>
      <x:c r="S81" s="20" t="str">
        <x:f>IF(C81="high_accuracy",J81,"")</x:f>
      </x:c>
    </x:row>
    <x:row r="82">
      <x:c r="A82" s="57"/>
      <x:c r="B82" s="20"/>
      <x:c r="C82" s="20"/>
      <x:c r="D82" s="59"/>
      <x:c r="E82" s="20"/>
      <x:c r="F82" s="20"/>
      <x:c r="G82" s="20"/>
      <x:c r="H82" s="59"/>
      <x:c r="I82" s="20"/>
      <x:c r="J82" s="53"/>
      <x:c r="K82" s="53"/>
      <x:c r="L82" s="53"/>
      <x:c r="M82" s="53"/>
      <x:c r="N82" s="55"/>
      <x:c r="O82" s="20"/>
      <x:c r="P82" s="20"/>
      <x:c r="Q82" s="20"/>
      <x:c r="R82" s="20" t="str">
        <x:f>IF(C82="standard",J82,"")</x:f>
      </x:c>
      <x:c r="S82" s="20" t="str">
        <x:f>IF(C82="high_accuracy",J82,"")</x:f>
      </x:c>
    </x:row>
    <x:row r="83">
      <x:c r="A83" s="57"/>
      <x:c r="B83" s="20"/>
      <x:c r="C83" s="20"/>
      <x:c r="D83" s="59"/>
      <x:c r="E83" s="20"/>
      <x:c r="F83" s="20"/>
      <x:c r="G83" s="20"/>
      <x:c r="H83" s="59"/>
      <x:c r="I83" s="20"/>
      <x:c r="J83" s="53"/>
      <x:c r="K83" s="53"/>
      <x:c r="L83" s="53"/>
      <x:c r="M83" s="53"/>
      <x:c r="N83" s="55"/>
      <x:c r="O83" s="20"/>
      <x:c r="P83" s="20"/>
      <x:c r="Q83" s="20"/>
      <x:c r="R83" s="20" t="str">
        <x:f>IF(C83="standard",J83,"")</x:f>
      </x:c>
      <x:c r="S83" s="20" t="str">
        <x:f>IF(C83="high_accuracy",J83,"")</x:f>
      </x:c>
    </x:row>
    <x:row r="84">
      <x:c r="A84" s="57"/>
      <x:c r="B84" s="20"/>
      <x:c r="C84" s="20"/>
      <x:c r="D84" s="59"/>
      <x:c r="E84" s="20"/>
      <x:c r="F84" s="20"/>
      <x:c r="G84" s="20"/>
      <x:c r="H84" s="59"/>
      <x:c r="I84" s="20"/>
      <x:c r="J84" s="53"/>
      <x:c r="K84" s="53"/>
      <x:c r="L84" s="53"/>
      <x:c r="M84" s="53"/>
      <x:c r="N84" s="55"/>
      <x:c r="O84" s="20"/>
      <x:c r="P84" s="20"/>
      <x:c r="Q84" s="20"/>
      <x:c r="R84" s="20" t="str">
        <x:f>IF(C84="standard",J84,"")</x:f>
      </x:c>
      <x:c r="S84" s="20" t="str">
        <x:f>IF(C84="high_accuracy",J84,"")</x:f>
      </x:c>
    </x:row>
    <x:row r="85">
      <x:c r="A85" s="57"/>
      <x:c r="B85" s="20"/>
      <x:c r="C85" s="20"/>
      <x:c r="D85" s="59"/>
      <x:c r="E85" s="20"/>
      <x:c r="F85" s="20"/>
      <x:c r="G85" s="20"/>
      <x:c r="H85" s="59"/>
      <x:c r="I85" s="20"/>
      <x:c r="J85" s="53"/>
      <x:c r="K85" s="53"/>
      <x:c r="L85" s="53"/>
      <x:c r="M85" s="53"/>
      <x:c r="N85" s="55"/>
      <x:c r="O85" s="20"/>
      <x:c r="P85" s="20"/>
      <x:c r="Q85" s="20"/>
      <x:c r="R85" s="20" t="str">
        <x:f>IF(C85="standard",J85,"")</x:f>
      </x:c>
      <x:c r="S85" s="20" t="str">
        <x:f>IF(C85="high_accuracy",J85,"")</x:f>
      </x:c>
    </x:row>
    <x:row r="86">
      <x:c r="A86" s="57"/>
      <x:c r="B86" s="20"/>
      <x:c r="C86" s="20"/>
      <x:c r="D86" s="59"/>
      <x:c r="E86" s="20"/>
      <x:c r="F86" s="20"/>
      <x:c r="G86" s="20"/>
      <x:c r="H86" s="59"/>
      <x:c r="I86" s="20"/>
      <x:c r="J86" s="53"/>
      <x:c r="K86" s="53"/>
      <x:c r="L86" s="53"/>
      <x:c r="M86" s="53"/>
      <x:c r="N86" s="55"/>
      <x:c r="O86" s="20"/>
      <x:c r="P86" s="20"/>
      <x:c r="Q86" s="20"/>
      <x:c r="R86" s="20" t="str">
        <x:f>IF(C86="standard",J86,"")</x:f>
      </x:c>
      <x:c r="S86" s="20" t="str">
        <x:f>IF(C86="high_accuracy",J86,"")</x:f>
      </x:c>
    </x:row>
    <x:row r="87">
      <x:c r="A87" s="57"/>
      <x:c r="B87" s="20"/>
      <x:c r="C87" s="20"/>
      <x:c r="D87" s="59"/>
      <x:c r="E87" s="20"/>
      <x:c r="F87" s="20"/>
      <x:c r="G87" s="20"/>
      <x:c r="H87" s="59"/>
      <x:c r="I87" s="20"/>
      <x:c r="J87" s="53"/>
      <x:c r="K87" s="53"/>
      <x:c r="L87" s="53"/>
      <x:c r="M87" s="53"/>
      <x:c r="N87" s="55"/>
      <x:c r="O87" s="20"/>
      <x:c r="P87" s="20"/>
      <x:c r="Q87" s="20"/>
      <x:c r="R87" s="20" t="str">
        <x:f>IF(C87="standard",J87,"")</x:f>
      </x:c>
      <x:c r="S87" s="20" t="str">
        <x:f>IF(C87="high_accuracy",J87,"")</x:f>
      </x:c>
    </x:row>
    <x:row r="88">
      <x:c r="A88" s="57"/>
      <x:c r="B88" s="20"/>
      <x:c r="C88" s="20"/>
      <x:c r="D88" s="59"/>
      <x:c r="E88" s="20"/>
      <x:c r="F88" s="20"/>
      <x:c r="G88" s="20"/>
      <x:c r="H88" s="59"/>
      <x:c r="I88" s="20"/>
      <x:c r="J88" s="53"/>
      <x:c r="K88" s="53"/>
      <x:c r="L88" s="53"/>
      <x:c r="M88" s="53"/>
      <x:c r="N88" s="55"/>
      <x:c r="O88" s="20"/>
      <x:c r="P88" s="20"/>
      <x:c r="Q88" s="20"/>
      <x:c r="R88" s="20" t="str">
        <x:f>IF(C88="standard",J88,"")</x:f>
      </x:c>
      <x:c r="S88" s="20" t="str">
        <x:f>IF(C88="high_accuracy",J88,"")</x:f>
      </x:c>
    </x:row>
    <x:row r="89">
      <x:c r="A89" s="57"/>
      <x:c r="B89" s="20"/>
      <x:c r="C89" s="20"/>
      <x:c r="D89" s="59"/>
      <x:c r="E89" s="20"/>
      <x:c r="F89" s="20"/>
      <x:c r="G89" s="20"/>
      <x:c r="H89" s="59"/>
      <x:c r="I89" s="20"/>
      <x:c r="J89" s="53"/>
      <x:c r="K89" s="53"/>
      <x:c r="L89" s="53"/>
      <x:c r="M89" s="53"/>
      <x:c r="N89" s="55"/>
      <x:c r="O89" s="20"/>
      <x:c r="P89" s="20"/>
      <x:c r="Q89" s="20"/>
      <x:c r="R89" s="20" t="str">
        <x:f>IF(C89="standard",J89,"")</x:f>
      </x:c>
      <x:c r="S89" s="20" t="str">
        <x:f>IF(C89="high_accuracy",J89,"")</x:f>
      </x:c>
    </x:row>
    <x:row r="90">
      <x:c r="A90" s="57"/>
      <x:c r="B90" s="20"/>
      <x:c r="C90" s="20"/>
      <x:c r="D90" s="59"/>
      <x:c r="E90" s="20"/>
      <x:c r="F90" s="20"/>
      <x:c r="G90" s="20"/>
      <x:c r="H90" s="59"/>
      <x:c r="I90" s="20"/>
      <x:c r="J90" s="53"/>
      <x:c r="K90" s="53"/>
      <x:c r="L90" s="53"/>
      <x:c r="M90" s="53"/>
      <x:c r="N90" s="55"/>
      <x:c r="O90" s="20"/>
      <x:c r="P90" s="20"/>
      <x:c r="Q90" s="20"/>
      <x:c r="R90" s="20" t="str">
        <x:f>IF(C90="standard",J90,"")</x:f>
      </x:c>
      <x:c r="S90" s="20" t="str">
        <x:f>IF(C90="high_accuracy",J90,"")</x:f>
      </x:c>
    </x:row>
    <x:row r="91">
      <x:c r="A91" s="57"/>
      <x:c r="B91" s="20"/>
      <x:c r="C91" s="20"/>
      <x:c r="D91" s="59"/>
      <x:c r="E91" s="20"/>
      <x:c r="F91" s="20"/>
      <x:c r="G91" s="20"/>
      <x:c r="H91" s="59"/>
      <x:c r="I91" s="20"/>
      <x:c r="J91" s="53"/>
      <x:c r="K91" s="53"/>
      <x:c r="L91" s="53"/>
      <x:c r="M91" s="53"/>
      <x:c r="N91" s="55"/>
      <x:c r="O91" s="20"/>
      <x:c r="P91" s="20"/>
      <x:c r="Q91" s="20"/>
      <x:c r="R91" s="20" t="str">
        <x:f>IF(C91="standard",J91,"")</x:f>
      </x:c>
      <x:c r="S91" s="20" t="str">
        <x:f>IF(C91="high_accuracy",J91,"")</x:f>
      </x:c>
    </x:row>
    <x:row r="92">
      <x:c r="A92" s="57"/>
      <x:c r="B92" s="20"/>
      <x:c r="C92" s="20"/>
      <x:c r="D92" s="59"/>
      <x:c r="E92" s="20"/>
      <x:c r="F92" s="20"/>
      <x:c r="G92" s="20"/>
      <x:c r="H92" s="59"/>
      <x:c r="I92" s="20"/>
      <x:c r="J92" s="53"/>
      <x:c r="K92" s="53"/>
      <x:c r="L92" s="53"/>
      <x:c r="M92" s="53"/>
      <x:c r="N92" s="55"/>
      <x:c r="O92" s="20"/>
      <x:c r="P92" s="20"/>
      <x:c r="Q92" s="20"/>
      <x:c r="R92" s="20" t="str">
        <x:f>IF(C92="standard",J92,"")</x:f>
      </x:c>
      <x:c r="S92" s="20" t="str">
        <x:f>IF(C92="high_accuracy",J92,"")</x:f>
      </x:c>
    </x:row>
    <x:row r="93">
      <x:c r="A93" s="57"/>
      <x:c r="B93" s="20"/>
      <x:c r="C93" s="20"/>
      <x:c r="D93" s="59"/>
      <x:c r="E93" s="20"/>
      <x:c r="F93" s="20"/>
      <x:c r="G93" s="20"/>
      <x:c r="H93" s="59"/>
      <x:c r="I93" s="20"/>
      <x:c r="J93" s="53"/>
      <x:c r="K93" s="53"/>
      <x:c r="L93" s="53"/>
      <x:c r="M93" s="53"/>
      <x:c r="N93" s="55"/>
      <x:c r="O93" s="20"/>
      <x:c r="P93" s="20"/>
      <x:c r="Q93" s="20"/>
      <x:c r="R93" s="20" t="str">
        <x:f>IF(C93="standard",J93,"")</x:f>
      </x:c>
      <x:c r="S93" s="20" t="str">
        <x:f>IF(C93="high_accuracy",J93,"")</x:f>
      </x:c>
    </x:row>
    <x:row r="94">
      <x:c r="A94" s="57"/>
      <x:c r="B94" s="20"/>
      <x:c r="C94" s="20"/>
      <x:c r="D94" s="59"/>
      <x:c r="E94" s="20"/>
      <x:c r="F94" s="20"/>
      <x:c r="G94" s="20"/>
      <x:c r="H94" s="59"/>
      <x:c r="I94" s="20"/>
      <x:c r="J94" s="53"/>
      <x:c r="K94" s="53"/>
      <x:c r="L94" s="53"/>
      <x:c r="M94" s="53"/>
      <x:c r="N94" s="55"/>
      <x:c r="O94" s="20"/>
      <x:c r="P94" s="20"/>
      <x:c r="Q94" s="20"/>
      <x:c r="R94" s="20" t="str">
        <x:f>IF(C94="standard",J94,"")</x:f>
      </x:c>
      <x:c r="S94" s="20" t="str">
        <x:f>IF(C94="high_accuracy",J94,"")</x:f>
      </x:c>
    </x:row>
    <x:row r="95">
      <x:c r="A95" s="57"/>
      <x:c r="B95" s="20"/>
      <x:c r="C95" s="20"/>
      <x:c r="D95" s="59"/>
      <x:c r="E95" s="20"/>
      <x:c r="F95" s="20"/>
      <x:c r="G95" s="20"/>
      <x:c r="H95" s="59"/>
      <x:c r="I95" s="20"/>
      <x:c r="J95" s="53"/>
      <x:c r="K95" s="53"/>
      <x:c r="L95" s="53"/>
      <x:c r="M95" s="53"/>
      <x:c r="N95" s="55"/>
      <x:c r="O95" s="20"/>
      <x:c r="P95" s="20"/>
      <x:c r="Q95" s="20"/>
      <x:c r="R95" s="20" t="str">
        <x:f>IF(C95="standard",J95,"")</x:f>
      </x:c>
      <x:c r="S95" s="20" t="str">
        <x:f>IF(C95="high_accuracy",J95,"")</x:f>
      </x:c>
    </x:row>
    <x:row r="96">
      <x:c r="A96" s="57"/>
      <x:c r="B96" s="20"/>
      <x:c r="C96" s="20"/>
      <x:c r="D96" s="59"/>
      <x:c r="E96" s="20"/>
      <x:c r="F96" s="20"/>
      <x:c r="G96" s="20"/>
      <x:c r="H96" s="59"/>
      <x:c r="I96" s="20"/>
      <x:c r="J96" s="53"/>
      <x:c r="K96" s="53"/>
      <x:c r="L96" s="53"/>
      <x:c r="M96" s="53"/>
      <x:c r="N96" s="55"/>
      <x:c r="O96" s="20"/>
      <x:c r="P96" s="20"/>
      <x:c r="Q96" s="20"/>
      <x:c r="R96" s="20" t="str">
        <x:f>IF(C96="standard",J96,"")</x:f>
      </x:c>
      <x:c r="S96" s="20" t="str">
        <x:f>IF(C96="high_accuracy",J96,"")</x:f>
      </x:c>
    </x:row>
    <x:row r="97">
      <x:c r="A97" s="57"/>
      <x:c r="B97" s="20"/>
      <x:c r="C97" s="20"/>
      <x:c r="D97" s="59"/>
      <x:c r="E97" s="20"/>
      <x:c r="F97" s="20"/>
      <x:c r="G97" s="20"/>
      <x:c r="H97" s="59"/>
      <x:c r="I97" s="20"/>
      <x:c r="J97" s="53"/>
      <x:c r="K97" s="53"/>
      <x:c r="L97" s="53"/>
      <x:c r="M97" s="53"/>
      <x:c r="N97" s="55"/>
      <x:c r="O97" s="20"/>
      <x:c r="P97" s="20"/>
      <x:c r="Q97" s="20"/>
      <x:c r="R97" s="20" t="str">
        <x:f>IF(C97="standard",J97,"")</x:f>
      </x:c>
      <x:c r="S97" s="20" t="str">
        <x:f>IF(C97="high_accuracy",J97,"")</x:f>
      </x:c>
    </x:row>
    <x:row r="98">
      <x:c r="A98" s="57"/>
      <x:c r="B98" s="20"/>
      <x:c r="C98" s="20"/>
      <x:c r="D98" s="59"/>
      <x:c r="E98" s="20"/>
      <x:c r="F98" s="20"/>
      <x:c r="G98" s="20"/>
      <x:c r="H98" s="59"/>
      <x:c r="I98" s="20"/>
      <x:c r="J98" s="53"/>
      <x:c r="K98" s="53"/>
      <x:c r="L98" s="53"/>
      <x:c r="M98" s="53"/>
      <x:c r="N98" s="55"/>
      <x:c r="O98" s="20"/>
      <x:c r="P98" s="20"/>
      <x:c r="Q98" s="20"/>
      <x:c r="R98" s="20" t="str">
        <x:f>IF(C98="standard",J98,"")</x:f>
      </x:c>
      <x:c r="S98" s="20" t="str">
        <x:f>IF(C98="high_accuracy",J98,"")</x:f>
      </x:c>
    </x:row>
    <x:row r="99">
      <x:c r="A99" s="57"/>
      <x:c r="B99" s="20"/>
      <x:c r="C99" s="20"/>
      <x:c r="D99" s="59"/>
      <x:c r="E99" s="20"/>
      <x:c r="F99" s="20"/>
      <x:c r="G99" s="20"/>
      <x:c r="H99" s="59"/>
      <x:c r="I99" s="20"/>
      <x:c r="J99" s="53"/>
      <x:c r="K99" s="53"/>
      <x:c r="L99" s="53"/>
      <x:c r="M99" s="53"/>
      <x:c r="N99" s="55"/>
      <x:c r="O99" s="20"/>
      <x:c r="P99" s="20"/>
      <x:c r="Q99" s="20"/>
      <x:c r="R99" s="20" t="str">
        <x:f>IF(C99="standard",J99,"")</x:f>
      </x:c>
      <x:c r="S99" s="20" t="str">
        <x:f>IF(C99="high_accuracy",J99,"")</x:f>
      </x:c>
    </x:row>
    <x:row r="100">
      <x:c r="A100" s="57"/>
      <x:c r="B100" s="20"/>
      <x:c r="C100" s="20"/>
      <x:c r="D100" s="59"/>
      <x:c r="E100" s="20"/>
      <x:c r="F100" s="20"/>
      <x:c r="G100" s="20"/>
      <x:c r="H100" s="59"/>
      <x:c r="I100" s="20"/>
      <x:c r="J100" s="53"/>
      <x:c r="K100" s="53"/>
      <x:c r="L100" s="53"/>
      <x:c r="M100" s="53"/>
      <x:c r="N100" s="55"/>
      <x:c r="O100" s="20"/>
      <x:c r="P100" s="20"/>
      <x:c r="Q100" s="20"/>
      <x:c r="R100" s="20" t="str">
        <x:f>IF(C100="standard",J100,"")</x:f>
      </x:c>
      <x:c r="S100" s="20" t="str">
        <x:f>IF(C100="high_accuracy",J100,"")</x:f>
      </x:c>
    </x:row>
    <x:row r="101">
      <x:c r="A101" s="57"/>
      <x:c r="B101" s="20"/>
      <x:c r="C101" s="20"/>
      <x:c r="D101" s="59"/>
      <x:c r="E101" s="20"/>
      <x:c r="F101" s="20"/>
      <x:c r="G101" s="20"/>
      <x:c r="H101" s="59"/>
      <x:c r="I101" s="20"/>
      <x:c r="J101" s="53"/>
      <x:c r="K101" s="53"/>
      <x:c r="L101" s="53"/>
      <x:c r="M101" s="53"/>
      <x:c r="N101" s="55"/>
      <x:c r="O101" s="20"/>
      <x:c r="P101" s="20"/>
      <x:c r="Q101" s="20"/>
      <x:c r="R101" s="20" t="str">
        <x:f>IF(C101="standard",J101,"")</x:f>
      </x:c>
      <x:c r="S101" s="20" t="str">
        <x:f>IF(C101="high_accuracy",J101,"")</x:f>
      </x:c>
    </x:row>
    <x:row r="102">
      <x:c r="A102" s="57"/>
      <x:c r="B102" s="20"/>
      <x:c r="C102" s="20"/>
      <x:c r="D102" s="59"/>
      <x:c r="E102" s="20"/>
      <x:c r="F102" s="20"/>
      <x:c r="G102" s="20"/>
      <x:c r="H102" s="59"/>
      <x:c r="I102" s="20"/>
      <x:c r="J102" s="53"/>
      <x:c r="K102" s="53"/>
      <x:c r="L102" s="53"/>
      <x:c r="M102" s="53"/>
      <x:c r="N102" s="55"/>
      <x:c r="O102" s="20"/>
      <x:c r="P102" s="20"/>
      <x:c r="Q102" s="20"/>
      <x:c r="R102" s="20" t="str">
        <x:f>IF(C102="standard",J102,"")</x:f>
      </x:c>
      <x:c r="S102" s="20" t="str">
        <x:f>IF(C102="high_accuracy",J102,"")</x:f>
      </x:c>
    </x:row>
    <x:row r="103">
      <x:c r="A103" s="57"/>
      <x:c r="B103" s="20"/>
      <x:c r="C103" s="20"/>
      <x:c r="D103" s="59"/>
      <x:c r="E103" s="20"/>
      <x:c r="F103" s="20"/>
      <x:c r="G103" s="20"/>
      <x:c r="H103" s="59"/>
      <x:c r="I103" s="20"/>
      <x:c r="J103" s="53"/>
      <x:c r="K103" s="53"/>
      <x:c r="L103" s="53"/>
      <x:c r="M103" s="53"/>
      <x:c r="N103" s="55"/>
      <x:c r="O103" s="20"/>
      <x:c r="P103" s="20"/>
      <x:c r="Q103" s="20"/>
      <x:c r="R103" s="20" t="str">
        <x:f>IF(C103="standard",J103,"")</x:f>
      </x:c>
      <x:c r="S103" s="20" t="str">
        <x:f>IF(C103="high_accuracy",J103,"")</x:f>
      </x:c>
    </x:row>
    <x:row r="104">
      <x:c r="A104" s="57"/>
      <x:c r="B104" s="20"/>
      <x:c r="C104" s="20"/>
      <x:c r="D104" s="59"/>
      <x:c r="E104" s="20"/>
      <x:c r="F104" s="20"/>
      <x:c r="G104" s="20"/>
      <x:c r="H104" s="59"/>
      <x:c r="I104" s="20"/>
      <x:c r="J104" s="53"/>
      <x:c r="K104" s="53"/>
      <x:c r="L104" s="53"/>
      <x:c r="M104" s="53"/>
      <x:c r="N104" s="55"/>
      <x:c r="O104" s="20"/>
      <x:c r="P104" s="20"/>
      <x:c r="Q104" s="20"/>
      <x:c r="R104" s="20" t="str">
        <x:f>IF(C104="standard",J104,"")</x:f>
      </x:c>
      <x:c r="S104" s="20" t="str">
        <x:f>IF(C104="high_accuracy",J104,"")</x:f>
      </x:c>
    </x:row>
    <x:row r="105">
      <x:c r="A105" s="57"/>
      <x:c r="B105" s="20"/>
      <x:c r="C105" s="20"/>
      <x:c r="D105" s="59"/>
      <x:c r="E105" s="20"/>
      <x:c r="F105" s="20"/>
      <x:c r="G105" s="20"/>
      <x:c r="H105" s="59"/>
      <x:c r="I105" s="20"/>
      <x:c r="J105" s="53"/>
      <x:c r="K105" s="53"/>
      <x:c r="L105" s="53"/>
      <x:c r="M105" s="53"/>
      <x:c r="N105" s="55"/>
      <x:c r="O105" s="20"/>
      <x:c r="P105" s="20"/>
      <x:c r="Q105" s="20"/>
      <x:c r="R105" s="20" t="str">
        <x:f>IF(C105="standard",J105,"")</x:f>
      </x:c>
      <x:c r="S105" s="20" t="str">
        <x:f>IF(C105="high_accuracy",J105,"")</x:f>
      </x:c>
    </x:row>
    <x:row r="106">
      <x:c r="A106" s="57"/>
      <x:c r="B106" s="20"/>
      <x:c r="C106" s="20"/>
      <x:c r="D106" s="59"/>
      <x:c r="E106" s="20"/>
      <x:c r="F106" s="20"/>
      <x:c r="G106" s="20"/>
      <x:c r="H106" s="59"/>
      <x:c r="I106" s="20"/>
      <x:c r="J106" s="53"/>
      <x:c r="K106" s="53"/>
      <x:c r="L106" s="53"/>
      <x:c r="M106" s="53"/>
      <x:c r="N106" s="55"/>
      <x:c r="O106" s="20"/>
      <x:c r="P106" s="20"/>
      <x:c r="Q106" s="20"/>
      <x:c r="R106" s="20" t="str">
        <x:f>IF(C106="standard",J106,"")</x:f>
      </x:c>
      <x:c r="S106" s="20" t="str">
        <x:f>IF(C106="high_accuracy",J106,"")</x:f>
      </x:c>
    </x:row>
    <x:row r="107">
      <x:c r="A107" s="57"/>
      <x:c r="B107" s="20"/>
      <x:c r="C107" s="20"/>
      <x:c r="D107" s="59"/>
      <x:c r="E107" s="20"/>
      <x:c r="F107" s="20"/>
      <x:c r="G107" s="20"/>
      <x:c r="H107" s="59"/>
      <x:c r="I107" s="20"/>
      <x:c r="J107" s="53"/>
      <x:c r="K107" s="53"/>
      <x:c r="L107" s="53"/>
      <x:c r="M107" s="53"/>
      <x:c r="N107" s="55"/>
      <x:c r="O107" s="20"/>
      <x:c r="P107" s="20"/>
      <x:c r="Q107" s="20"/>
      <x:c r="R107" s="20" t="str">
        <x:f>IF(C107="standard",J107,"")</x:f>
      </x:c>
      <x:c r="S107" s="20" t="str">
        <x:f>IF(C107="high_accuracy",J107,"")</x:f>
      </x:c>
    </x:row>
    <x:row r="108">
      <x:c r="A108" s="57"/>
      <x:c r="B108" s="20"/>
      <x:c r="C108" s="20"/>
      <x:c r="D108" s="59"/>
      <x:c r="E108" s="20"/>
      <x:c r="F108" s="20"/>
      <x:c r="G108" s="20"/>
      <x:c r="H108" s="59"/>
      <x:c r="I108" s="20"/>
      <x:c r="J108" s="53"/>
      <x:c r="K108" s="53"/>
      <x:c r="L108" s="53"/>
      <x:c r="M108" s="53"/>
      <x:c r="N108" s="55"/>
      <x:c r="O108" s="20"/>
      <x:c r="P108" s="20"/>
      <x:c r="Q108" s="20"/>
      <x:c r="R108" s="20" t="str">
        <x:f>IF(C108="standard",J108,"")</x:f>
      </x:c>
      <x:c r="S108" s="20" t="str">
        <x:f>IF(C108="high_accuracy",J108,"")</x:f>
      </x:c>
    </x:row>
    <x:row r="109">
      <x:c r="A109" s="57"/>
      <x:c r="B109" s="20"/>
      <x:c r="C109" s="20"/>
      <x:c r="D109" s="59"/>
      <x:c r="E109" s="20"/>
      <x:c r="F109" s="20"/>
      <x:c r="G109" s="20"/>
      <x:c r="H109" s="59"/>
      <x:c r="I109" s="20"/>
      <x:c r="J109" s="53"/>
      <x:c r="K109" s="53"/>
      <x:c r="L109" s="53"/>
      <x:c r="M109" s="53"/>
      <x:c r="N109" s="55"/>
      <x:c r="O109" s="20"/>
      <x:c r="P109" s="20"/>
      <x:c r="Q109" s="20"/>
      <x:c r="R109" s="20" t="str">
        <x:f>IF(C109="standard",J109,"")</x:f>
      </x:c>
      <x:c r="S109" s="20" t="str">
        <x:f>IF(C109="high_accuracy",J109,"")</x:f>
      </x:c>
    </x:row>
    <x:row r="110">
      <x:c r="A110" s="57"/>
      <x:c r="B110" s="20"/>
      <x:c r="C110" s="20"/>
      <x:c r="D110" s="59"/>
      <x:c r="E110" s="20"/>
      <x:c r="F110" s="20"/>
      <x:c r="G110" s="20"/>
      <x:c r="H110" s="59"/>
      <x:c r="I110" s="20"/>
      <x:c r="J110" s="53"/>
      <x:c r="K110" s="53"/>
      <x:c r="L110" s="53"/>
      <x:c r="M110" s="53"/>
      <x:c r="N110" s="55"/>
      <x:c r="O110" s="20"/>
      <x:c r="P110" s="20"/>
      <x:c r="Q110" s="20"/>
      <x:c r="R110" s="20" t="str">
        <x:f>IF(C110="standard",J110,"")</x:f>
      </x:c>
      <x:c r="S110" s="20" t="str">
        <x:f>IF(C110="high_accuracy",J110,"")</x:f>
      </x:c>
    </x:row>
    <x:row r="111">
      <x:c r="A111" s="57"/>
      <x:c r="B111" s="20"/>
      <x:c r="C111" s="20"/>
      <x:c r="D111" s="59"/>
      <x:c r="E111" s="20"/>
      <x:c r="F111" s="20"/>
      <x:c r="G111" s="20"/>
      <x:c r="H111" s="59"/>
      <x:c r="I111" s="20"/>
      <x:c r="J111" s="53"/>
      <x:c r="K111" s="53"/>
      <x:c r="L111" s="53"/>
      <x:c r="M111" s="53"/>
      <x:c r="N111" s="55"/>
      <x:c r="O111" s="20"/>
      <x:c r="P111" s="20"/>
      <x:c r="Q111" s="20"/>
      <x:c r="R111" s="20" t="str">
        <x:f>IF(C111="standard",J111,"")</x:f>
      </x:c>
      <x:c r="S111" s="20" t="str">
        <x:f>IF(C111="high_accuracy",J111,"")</x:f>
      </x:c>
    </x:row>
    <x:row r="112">
      <x:c r="A112" s="57"/>
      <x:c r="B112" s="20"/>
      <x:c r="C112" s="20"/>
      <x:c r="D112" s="59"/>
      <x:c r="E112" s="20"/>
      <x:c r="F112" s="20"/>
      <x:c r="G112" s="20"/>
      <x:c r="H112" s="59"/>
      <x:c r="I112" s="20"/>
      <x:c r="J112" s="53"/>
      <x:c r="K112" s="53"/>
      <x:c r="L112" s="53"/>
      <x:c r="M112" s="53"/>
      <x:c r="N112" s="55"/>
      <x:c r="O112" s="20"/>
      <x:c r="P112" s="20"/>
      <x:c r="Q112" s="20"/>
      <x:c r="R112" s="20" t="str">
        <x:f>IF(C112="standard",J112,"")</x:f>
      </x:c>
      <x:c r="S112" s="20" t="str">
        <x:f>IF(C112="high_accuracy",J112,"")</x:f>
      </x:c>
    </x:row>
    <x:row r="113">
      <x:c r="A113" s="57"/>
      <x:c r="B113" s="20"/>
      <x:c r="C113" s="20"/>
      <x:c r="D113" s="59"/>
      <x:c r="E113" s="20"/>
      <x:c r="F113" s="20"/>
      <x:c r="G113" s="20"/>
      <x:c r="H113" s="59"/>
      <x:c r="I113" s="20"/>
      <x:c r="J113" s="53"/>
      <x:c r="K113" s="53"/>
      <x:c r="L113" s="53"/>
      <x:c r="M113" s="53"/>
      <x:c r="N113" s="55"/>
      <x:c r="O113" s="20"/>
      <x:c r="P113" s="20"/>
      <x:c r="Q113" s="20"/>
      <x:c r="R113" s="20" t="str">
        <x:f>IF(C113="standard",J113,"")</x:f>
      </x:c>
      <x:c r="S113" s="20" t="str">
        <x:f>IF(C113="high_accuracy",J113,"")</x:f>
      </x:c>
    </x:row>
    <x:row r="114">
      <x:c r="A114" s="57"/>
      <x:c r="B114" s="20"/>
      <x:c r="C114" s="20"/>
      <x:c r="D114" s="59"/>
      <x:c r="E114" s="20"/>
      <x:c r="F114" s="20"/>
      <x:c r="G114" s="20"/>
      <x:c r="H114" s="59"/>
      <x:c r="I114" s="20"/>
      <x:c r="J114" s="53"/>
      <x:c r="K114" s="53"/>
      <x:c r="L114" s="53"/>
      <x:c r="M114" s="53"/>
      <x:c r="N114" s="55"/>
      <x:c r="O114" s="20"/>
      <x:c r="P114" s="20"/>
      <x:c r="Q114" s="20"/>
      <x:c r="R114" s="20" t="str">
        <x:f>IF(C114="standard",J114,"")</x:f>
      </x:c>
      <x:c r="S114" s="20" t="str">
        <x:f>IF(C114="high_accuracy",J114,"")</x:f>
      </x:c>
    </x:row>
    <x:row r="115">
      <x:c r="A115" s="57"/>
      <x:c r="B115" s="20"/>
      <x:c r="C115" s="20"/>
      <x:c r="D115" s="59"/>
      <x:c r="E115" s="20"/>
      <x:c r="F115" s="20"/>
      <x:c r="G115" s="20"/>
      <x:c r="H115" s="59"/>
      <x:c r="I115" s="20"/>
      <x:c r="J115" s="53"/>
      <x:c r="K115" s="53"/>
      <x:c r="L115" s="53"/>
      <x:c r="M115" s="53"/>
      <x:c r="N115" s="55"/>
      <x:c r="O115" s="20"/>
      <x:c r="P115" s="20"/>
      <x:c r="Q115" s="20"/>
      <x:c r="R115" s="20" t="str">
        <x:f>IF(C115="standard",J115,"")</x:f>
      </x:c>
      <x:c r="S115" s="20" t="str">
        <x:f>IF(C115="high_accuracy",J115,"")</x:f>
      </x:c>
    </x:row>
    <x:row r="116">
      <x:c r="A116" s="57"/>
      <x:c r="B116" s="20"/>
      <x:c r="C116" s="20"/>
      <x:c r="D116" s="59"/>
      <x:c r="E116" s="20"/>
      <x:c r="F116" s="20"/>
      <x:c r="G116" s="20"/>
      <x:c r="H116" s="59"/>
      <x:c r="I116" s="20"/>
      <x:c r="J116" s="53"/>
      <x:c r="K116" s="53"/>
      <x:c r="L116" s="53"/>
      <x:c r="M116" s="53"/>
      <x:c r="N116" s="55"/>
      <x:c r="O116" s="20"/>
      <x:c r="P116" s="20"/>
      <x:c r="Q116" s="20"/>
      <x:c r="R116" s="20" t="str">
        <x:f>IF(C116="standard",J116,"")</x:f>
      </x:c>
      <x:c r="S116" s="20" t="str">
        <x:f>IF(C116="high_accuracy",J116,"")</x:f>
      </x:c>
    </x:row>
    <x:row r="117">
      <x:c r="A117" s="57"/>
      <x:c r="B117" s="20"/>
      <x:c r="C117" s="20"/>
      <x:c r="D117" s="59"/>
      <x:c r="E117" s="20"/>
      <x:c r="F117" s="20"/>
      <x:c r="G117" s="20"/>
      <x:c r="H117" s="59"/>
      <x:c r="I117" s="20"/>
      <x:c r="J117" s="53"/>
      <x:c r="K117" s="53"/>
      <x:c r="L117" s="53"/>
      <x:c r="M117" s="53"/>
      <x:c r="N117" s="55"/>
      <x:c r="O117" s="20"/>
      <x:c r="P117" s="20"/>
      <x:c r="Q117" s="20"/>
      <x:c r="R117" s="20" t="str">
        <x:f>IF(C117="standard",J117,"")</x:f>
      </x:c>
      <x:c r="S117" s="20" t="str">
        <x:f>IF(C117="high_accuracy",J117,"")</x:f>
      </x:c>
    </x:row>
    <x:row r="118">
      <x:c r="A118" s="57"/>
      <x:c r="B118" s="20"/>
      <x:c r="C118" s="20"/>
      <x:c r="D118" s="59"/>
      <x:c r="E118" s="20"/>
      <x:c r="F118" s="20"/>
      <x:c r="G118" s="20"/>
      <x:c r="H118" s="59"/>
      <x:c r="I118" s="20"/>
      <x:c r="J118" s="53"/>
      <x:c r="K118" s="53"/>
      <x:c r="L118" s="53"/>
      <x:c r="M118" s="53"/>
      <x:c r="N118" s="55"/>
      <x:c r="O118" s="20"/>
      <x:c r="P118" s="20"/>
      <x:c r="Q118" s="20"/>
      <x:c r="R118" s="20" t="str">
        <x:f>IF(C118="standard",J118,"")</x:f>
      </x:c>
      <x:c r="S118" s="20" t="str">
        <x:f>IF(C118="high_accuracy",J118,"")</x:f>
      </x:c>
    </x:row>
    <x:row r="119">
      <x:c r="A119" s="57"/>
      <x:c r="B119" s="20"/>
      <x:c r="C119" s="20"/>
      <x:c r="D119" s="59"/>
      <x:c r="E119" s="20"/>
      <x:c r="F119" s="20"/>
      <x:c r="G119" s="20"/>
      <x:c r="H119" s="59"/>
      <x:c r="I119" s="20"/>
      <x:c r="J119" s="53"/>
      <x:c r="K119" s="53"/>
      <x:c r="L119" s="53"/>
      <x:c r="M119" s="53"/>
      <x:c r="N119" s="55"/>
      <x:c r="O119" s="20"/>
      <x:c r="P119" s="20"/>
      <x:c r="Q119" s="20"/>
      <x:c r="R119" s="20" t="str">
        <x:f>IF(C119="standard",J119,"")</x:f>
      </x:c>
      <x:c r="S119" s="20" t="str">
        <x:f>IF(C119="high_accuracy",J119,"")</x:f>
      </x:c>
    </x:row>
    <x:row r="120">
      <x:c r="A120" s="57"/>
      <x:c r="B120" s="20"/>
      <x:c r="C120" s="20"/>
      <x:c r="D120" s="59"/>
      <x:c r="E120" s="20"/>
      <x:c r="F120" s="20"/>
      <x:c r="G120" s="20"/>
      <x:c r="H120" s="59"/>
      <x:c r="I120" s="20"/>
      <x:c r="J120" s="53"/>
      <x:c r="K120" s="53"/>
      <x:c r="L120" s="53"/>
      <x:c r="M120" s="53"/>
      <x:c r="N120" s="55"/>
      <x:c r="O120" s="20"/>
      <x:c r="P120" s="20"/>
      <x:c r="Q120" s="20"/>
      <x:c r="R120" s="20" t="str">
        <x:f>IF(C120="standard",J120,"")</x:f>
      </x:c>
      <x:c r="S120" s="20" t="str">
        <x:f>IF(C120="high_accuracy",J120,"")</x:f>
      </x:c>
    </x:row>
    <x:row r="121">
      <x:c r="A121" s="57"/>
      <x:c r="B121" s="20"/>
      <x:c r="C121" s="20"/>
      <x:c r="D121" s="59"/>
      <x:c r="E121" s="20"/>
      <x:c r="F121" s="20"/>
      <x:c r="G121" s="20"/>
      <x:c r="H121" s="59"/>
      <x:c r="I121" s="20"/>
      <x:c r="J121" s="53"/>
      <x:c r="K121" s="53"/>
      <x:c r="L121" s="53"/>
      <x:c r="M121" s="53"/>
      <x:c r="N121" s="55"/>
      <x:c r="O121" s="20"/>
      <x:c r="P121" s="20"/>
      <x:c r="Q121" s="20"/>
      <x:c r="R121" s="20" t="str">
        <x:f>IF(C121="standard",J121,"")</x:f>
      </x:c>
      <x:c r="S121" s="20" t="str">
        <x:f>IF(C121="high_accuracy",J121,"")</x:f>
      </x:c>
    </x:row>
    <x:row r="122">
      <x:c r="A122" s="57"/>
      <x:c r="B122" s="20"/>
      <x:c r="C122" s="20"/>
      <x:c r="D122" s="59"/>
      <x:c r="E122" s="20"/>
      <x:c r="F122" s="20"/>
      <x:c r="G122" s="20"/>
      <x:c r="H122" s="59"/>
      <x:c r="I122" s="20"/>
      <x:c r="J122" s="53"/>
      <x:c r="K122" s="53"/>
      <x:c r="L122" s="53"/>
      <x:c r="M122" s="53"/>
      <x:c r="N122" s="55"/>
      <x:c r="O122" s="20"/>
      <x:c r="P122" s="20"/>
      <x:c r="Q122" s="20"/>
      <x:c r="R122" s="20" t="str">
        <x:f>IF(C122="standard",J122,"")</x:f>
      </x:c>
      <x:c r="S122" s="20" t="str">
        <x:f>IF(C122="high_accuracy",J122,"")</x:f>
      </x:c>
    </x:row>
    <x:row r="123">
      <x:c r="A123" s="57"/>
      <x:c r="B123" s="20"/>
      <x:c r="C123" s="20"/>
      <x:c r="D123" s="59"/>
      <x:c r="E123" s="20"/>
      <x:c r="F123" s="20"/>
      <x:c r="G123" s="20"/>
      <x:c r="H123" s="59"/>
      <x:c r="I123" s="20"/>
      <x:c r="J123" s="53"/>
      <x:c r="K123" s="53"/>
      <x:c r="L123" s="53"/>
      <x:c r="M123" s="53"/>
      <x:c r="N123" s="55"/>
      <x:c r="O123" s="20"/>
      <x:c r="P123" s="20"/>
      <x:c r="Q123" s="20"/>
      <x:c r="R123" s="20" t="str">
        <x:f>IF(C123="standard",J123,"")</x:f>
      </x:c>
      <x:c r="S123" s="20" t="str">
        <x:f>IF(C123="high_accuracy",J123,"")</x:f>
      </x:c>
    </x:row>
    <x:row r="124">
      <x:c r="A124" s="57"/>
      <x:c r="B124" s="20"/>
      <x:c r="C124" s="20"/>
      <x:c r="D124" s="59"/>
      <x:c r="E124" s="20"/>
      <x:c r="F124" s="20"/>
      <x:c r="G124" s="20"/>
      <x:c r="H124" s="59"/>
      <x:c r="I124" s="20"/>
      <x:c r="J124" s="53"/>
      <x:c r="K124" s="53"/>
      <x:c r="L124" s="53"/>
      <x:c r="M124" s="53"/>
      <x:c r="N124" s="55"/>
      <x:c r="O124" s="20"/>
      <x:c r="P124" s="20"/>
      <x:c r="Q124" s="20"/>
      <x:c r="R124" s="20" t="str">
        <x:f>IF(C124="standard",J124,"")</x:f>
      </x:c>
      <x:c r="S124" s="20" t="str">
        <x:f>IF(C124="high_accuracy",J124,"")</x:f>
      </x:c>
    </x:row>
    <x:row r="125">
      <x:c r="A125" s="57"/>
      <x:c r="B125" s="20"/>
      <x:c r="C125" s="20"/>
      <x:c r="D125" s="59"/>
      <x:c r="E125" s="20"/>
      <x:c r="F125" s="20"/>
      <x:c r="G125" s="20"/>
      <x:c r="H125" s="59"/>
      <x:c r="I125" s="20"/>
      <x:c r="J125" s="53"/>
      <x:c r="K125" s="53"/>
      <x:c r="L125" s="53"/>
      <x:c r="M125" s="53"/>
      <x:c r="N125" s="55"/>
      <x:c r="O125" s="20"/>
      <x:c r="P125" s="20"/>
      <x:c r="Q125" s="20"/>
      <x:c r="R125" s="20" t="str">
        <x:f>IF(C125="standard",J125,"")</x:f>
      </x:c>
      <x:c r="S125" s="20" t="str">
        <x:f>IF(C125="high_accuracy",J125,"")</x:f>
      </x:c>
    </x:row>
    <x:row r="126">
      <x:c r="A126" s="57"/>
      <x:c r="B126" s="20"/>
      <x:c r="C126" s="20"/>
      <x:c r="D126" s="59"/>
      <x:c r="E126" s="20"/>
      <x:c r="F126" s="20"/>
      <x:c r="G126" s="20"/>
      <x:c r="H126" s="59"/>
      <x:c r="I126" s="20"/>
      <x:c r="J126" s="53"/>
      <x:c r="K126" s="53"/>
      <x:c r="L126" s="53"/>
      <x:c r="M126" s="53"/>
      <x:c r="N126" s="55"/>
      <x:c r="O126" s="20"/>
      <x:c r="P126" s="20"/>
      <x:c r="Q126" s="20"/>
      <x:c r="R126" s="20" t="str">
        <x:f>IF(C126="standard",J126,"")</x:f>
      </x:c>
      <x:c r="S126" s="20" t="str">
        <x:f>IF(C126="high_accuracy",J126,"")</x:f>
      </x:c>
    </x:row>
    <x:row r="127">
      <x:c r="A127" s="57"/>
      <x:c r="B127" s="20"/>
      <x:c r="C127" s="20"/>
      <x:c r="D127" s="59"/>
      <x:c r="E127" s="20"/>
      <x:c r="F127" s="20"/>
      <x:c r="G127" s="20"/>
      <x:c r="H127" s="59"/>
      <x:c r="I127" s="20"/>
      <x:c r="J127" s="53"/>
      <x:c r="K127" s="53"/>
      <x:c r="L127" s="53"/>
      <x:c r="M127" s="53"/>
      <x:c r="N127" s="55"/>
      <x:c r="O127" s="20"/>
      <x:c r="P127" s="20"/>
      <x:c r="Q127" s="20"/>
      <x:c r="R127" s="20" t="str">
        <x:f>IF(C127="standard",J127,"")</x:f>
      </x:c>
      <x:c r="S127" s="20" t="str">
        <x:f>IF(C127="high_accuracy",J127,"")</x:f>
      </x:c>
    </x:row>
    <x:row r="128">
      <x:c r="A128" s="57"/>
      <x:c r="B128" s="20"/>
      <x:c r="C128" s="20"/>
      <x:c r="D128" s="59"/>
      <x:c r="E128" s="20"/>
      <x:c r="F128" s="20"/>
      <x:c r="G128" s="20"/>
      <x:c r="H128" s="59"/>
      <x:c r="I128" s="20"/>
      <x:c r="J128" s="53"/>
      <x:c r="K128" s="53"/>
      <x:c r="L128" s="53"/>
      <x:c r="M128" s="53"/>
      <x:c r="N128" s="55"/>
      <x:c r="O128" s="20"/>
      <x:c r="P128" s="20"/>
      <x:c r="Q128" s="20"/>
      <x:c r="R128" s="20" t="str">
        <x:f>IF(C128="standard",J128,"")</x:f>
      </x:c>
      <x:c r="S128" s="20" t="str">
        <x:f>IF(C128="high_accuracy",J128,"")</x:f>
      </x:c>
    </x:row>
    <x:row r="129">
      <x:c r="A129" s="57"/>
      <x:c r="B129" s="20"/>
      <x:c r="C129" s="20"/>
      <x:c r="D129" s="59"/>
      <x:c r="E129" s="20"/>
      <x:c r="F129" s="20"/>
      <x:c r="G129" s="20"/>
      <x:c r="H129" s="59"/>
      <x:c r="I129" s="20"/>
      <x:c r="J129" s="53"/>
      <x:c r="K129" s="53"/>
      <x:c r="L129" s="53"/>
      <x:c r="M129" s="53"/>
      <x:c r="N129" s="55"/>
      <x:c r="O129" s="20"/>
      <x:c r="P129" s="20"/>
      <x:c r="Q129" s="20"/>
      <x:c r="R129" s="20" t="str">
        <x:f>IF(C129="standard",J129,"")</x:f>
      </x:c>
      <x:c r="S129" s="20" t="str">
        <x:f>IF(C129="high_accuracy",J129,"")</x:f>
      </x:c>
    </x:row>
    <x:row r="130">
      <x:c r="A130" s="57"/>
      <x:c r="B130" s="20"/>
      <x:c r="C130" s="20"/>
      <x:c r="D130" s="59"/>
      <x:c r="E130" s="20"/>
      <x:c r="F130" s="20"/>
      <x:c r="G130" s="20"/>
      <x:c r="H130" s="59"/>
      <x:c r="I130" s="20"/>
      <x:c r="J130" s="53"/>
      <x:c r="K130" s="53"/>
      <x:c r="L130" s="53"/>
      <x:c r="M130" s="53"/>
      <x:c r="N130" s="55"/>
      <x:c r="O130" s="20"/>
      <x:c r="P130" s="20"/>
      <x:c r="Q130" s="20"/>
      <x:c r="R130" s="20" t="str">
        <x:f>IF(C130="standard",J130,"")</x:f>
      </x:c>
      <x:c r="S130" s="20" t="str">
        <x:f>IF(C130="high_accuracy",J130,"")</x:f>
      </x:c>
    </x:row>
    <x:row r="131">
      <x:c r="A131" s="57"/>
      <x:c r="B131" s="20"/>
      <x:c r="C131" s="20"/>
      <x:c r="D131" s="59"/>
      <x:c r="E131" s="20"/>
      <x:c r="F131" s="20"/>
      <x:c r="G131" s="20"/>
      <x:c r="H131" s="59"/>
      <x:c r="I131" s="20"/>
      <x:c r="J131" s="53"/>
      <x:c r="K131" s="53"/>
      <x:c r="L131" s="53"/>
      <x:c r="M131" s="53"/>
      <x:c r="N131" s="55"/>
      <x:c r="O131" s="20"/>
      <x:c r="P131" s="20"/>
      <x:c r="Q131" s="20"/>
      <x:c r="R131" s="20" t="str">
        <x:f>IF(C131="standard",J131,"")</x:f>
      </x:c>
      <x:c r="S131" s="20" t="str">
        <x:f>IF(C131="high_accuracy",J131,"")</x:f>
      </x:c>
    </x:row>
    <x:row r="132">
      <x:c r="A132" s="57"/>
      <x:c r="B132" s="20"/>
      <x:c r="C132" s="20"/>
      <x:c r="D132" s="59"/>
      <x:c r="E132" s="20"/>
      <x:c r="F132" s="20"/>
      <x:c r="G132" s="20"/>
      <x:c r="H132" s="59"/>
      <x:c r="I132" s="20"/>
      <x:c r="J132" s="53"/>
      <x:c r="K132" s="53"/>
      <x:c r="L132" s="53"/>
      <x:c r="M132" s="53"/>
      <x:c r="N132" s="55"/>
      <x:c r="O132" s="20"/>
      <x:c r="P132" s="20"/>
      <x:c r="Q132" s="20"/>
      <x:c r="R132" s="20" t="str">
        <x:f>IF(C132="standard",J132,"")</x:f>
      </x:c>
      <x:c r="S132" s="20" t="str">
        <x:f>IF(C132="high_accuracy",J132,"")</x:f>
      </x:c>
    </x:row>
    <x:row r="133">
      <x:c r="A133" s="57"/>
      <x:c r="B133" s="20"/>
      <x:c r="C133" s="20"/>
      <x:c r="D133" s="59"/>
      <x:c r="E133" s="20"/>
      <x:c r="F133" s="20"/>
      <x:c r="G133" s="20"/>
      <x:c r="H133" s="59"/>
      <x:c r="I133" s="20"/>
      <x:c r="J133" s="53"/>
      <x:c r="K133" s="53"/>
      <x:c r="L133" s="53"/>
      <x:c r="M133" s="53"/>
      <x:c r="N133" s="55"/>
      <x:c r="O133" s="20"/>
      <x:c r="P133" s="20"/>
      <x:c r="Q133" s="20"/>
      <x:c r="R133" s="20" t="str">
        <x:f>IF(C133="standard",J133,"")</x:f>
      </x:c>
      <x:c r="S133" s="20" t="str">
        <x:f>IF(C133="high_accuracy",J133,"")</x:f>
      </x:c>
    </x:row>
    <x:row r="134">
      <x:c r="A134" s="57"/>
      <x:c r="B134" s="20"/>
      <x:c r="C134" s="20"/>
      <x:c r="D134" s="59"/>
      <x:c r="E134" s="20"/>
      <x:c r="F134" s="20"/>
      <x:c r="G134" s="20"/>
      <x:c r="H134" s="59"/>
      <x:c r="I134" s="20"/>
      <x:c r="J134" s="53"/>
      <x:c r="K134" s="53"/>
      <x:c r="L134" s="53"/>
      <x:c r="M134" s="53"/>
      <x:c r="N134" s="55"/>
      <x:c r="O134" s="20"/>
      <x:c r="P134" s="20"/>
      <x:c r="Q134" s="20"/>
      <x:c r="R134" s="20" t="str">
        <x:f>IF(C134="standard",J134,"")</x:f>
      </x:c>
      <x:c r="S134" s="20" t="str">
        <x:f>IF(C134="high_accuracy",J134,"")</x:f>
      </x:c>
    </x:row>
    <x:row r="135">
      <x:c r="A135" s="57"/>
      <x:c r="B135" s="20"/>
      <x:c r="C135" s="20"/>
      <x:c r="D135" s="59"/>
      <x:c r="E135" s="20"/>
      <x:c r="F135" s="20"/>
      <x:c r="G135" s="20"/>
      <x:c r="H135" s="59"/>
      <x:c r="I135" s="20"/>
      <x:c r="J135" s="53"/>
      <x:c r="K135" s="53"/>
      <x:c r="L135" s="53"/>
      <x:c r="M135" s="53"/>
      <x:c r="N135" s="55"/>
      <x:c r="O135" s="20"/>
      <x:c r="P135" s="20"/>
      <x:c r="Q135" s="20"/>
      <x:c r="R135" s="20" t="str">
        <x:f>IF(C135="standard",J135,"")</x:f>
      </x:c>
      <x:c r="S135" s="20" t="str">
        <x:f>IF(C135="high_accuracy",J135,"")</x:f>
      </x:c>
    </x:row>
    <x:row r="136">
      <x:c r="A136" s="57"/>
      <x:c r="B136" s="20"/>
      <x:c r="C136" s="20"/>
      <x:c r="D136" s="59"/>
      <x:c r="E136" s="20"/>
      <x:c r="F136" s="20"/>
      <x:c r="G136" s="20"/>
      <x:c r="H136" s="59"/>
      <x:c r="I136" s="20"/>
      <x:c r="J136" s="53"/>
      <x:c r="K136" s="53"/>
      <x:c r="L136" s="53"/>
      <x:c r="M136" s="53"/>
      <x:c r="N136" s="55"/>
      <x:c r="O136" s="20"/>
      <x:c r="P136" s="20"/>
      <x:c r="Q136" s="20"/>
      <x:c r="R136" s="20" t="str">
        <x:f>IF(C136="standard",J136,"")</x:f>
      </x:c>
      <x:c r="S136" s="20" t="str">
        <x:f>IF(C136="high_accuracy",J136,"")</x:f>
      </x:c>
    </x:row>
    <x:row r="137">
      <x:c r="A137" s="57"/>
      <x:c r="B137" s="20"/>
      <x:c r="C137" s="20"/>
      <x:c r="D137" s="59"/>
      <x:c r="E137" s="20"/>
      <x:c r="F137" s="20"/>
      <x:c r="G137" s="20"/>
      <x:c r="H137" s="59"/>
      <x:c r="I137" s="20"/>
      <x:c r="J137" s="53"/>
      <x:c r="K137" s="53"/>
      <x:c r="L137" s="53"/>
      <x:c r="M137" s="53"/>
      <x:c r="N137" s="55"/>
      <x:c r="O137" s="20"/>
      <x:c r="P137" s="20"/>
      <x:c r="Q137" s="20"/>
      <x:c r="R137" s="20" t="str">
        <x:f>IF(C137="standard",J137,"")</x:f>
      </x:c>
      <x:c r="S137" s="20" t="str">
        <x:f>IF(C137="high_accuracy",J137,"")</x:f>
      </x:c>
    </x:row>
    <x:row r="138">
      <x:c r="A138" s="57"/>
      <x:c r="B138" s="20"/>
      <x:c r="C138" s="20"/>
      <x:c r="D138" s="59"/>
      <x:c r="E138" s="20"/>
      <x:c r="F138" s="20"/>
      <x:c r="G138" s="20"/>
      <x:c r="H138" s="59"/>
      <x:c r="I138" s="20"/>
      <x:c r="J138" s="53"/>
      <x:c r="K138" s="53"/>
      <x:c r="L138" s="53"/>
      <x:c r="M138" s="53"/>
      <x:c r="N138" s="55"/>
      <x:c r="O138" s="20"/>
      <x:c r="P138" s="20"/>
      <x:c r="Q138" s="20"/>
      <x:c r="R138" s="20" t="str">
        <x:f>IF(C138="standard",J138,"")</x:f>
      </x:c>
      <x:c r="S138" s="20" t="str">
        <x:f>IF(C138="high_accuracy",J138,"")</x:f>
      </x:c>
    </x:row>
    <x:row r="139">
      <x:c r="A139" s="57"/>
      <x:c r="B139" s="20"/>
      <x:c r="C139" s="20"/>
      <x:c r="D139" s="59"/>
      <x:c r="E139" s="20"/>
      <x:c r="F139" s="20"/>
      <x:c r="G139" s="20"/>
      <x:c r="H139" s="59"/>
      <x:c r="I139" s="20"/>
      <x:c r="J139" s="53"/>
      <x:c r="K139" s="53"/>
      <x:c r="L139" s="53"/>
      <x:c r="M139" s="53"/>
      <x:c r="N139" s="55"/>
      <x:c r="O139" s="20"/>
      <x:c r="P139" s="20"/>
      <x:c r="Q139" s="20"/>
      <x:c r="R139" s="20" t="str">
        <x:f>IF(C139="standard",J139,"")</x:f>
      </x:c>
      <x:c r="S139" s="20" t="str">
        <x:f>IF(C139="high_accuracy",J139,"")</x:f>
      </x:c>
    </x:row>
    <x:row r="140">
      <x:c r="A140" s="57"/>
      <x:c r="B140" s="20"/>
      <x:c r="C140" s="20"/>
      <x:c r="D140" s="59"/>
      <x:c r="E140" s="20"/>
      <x:c r="F140" s="20"/>
      <x:c r="G140" s="20"/>
      <x:c r="H140" s="59"/>
      <x:c r="I140" s="20"/>
      <x:c r="J140" s="53"/>
      <x:c r="K140" s="53"/>
      <x:c r="L140" s="53"/>
      <x:c r="M140" s="53"/>
      <x:c r="N140" s="55"/>
      <x:c r="O140" s="20"/>
      <x:c r="P140" s="20"/>
      <x:c r="Q140" s="20"/>
      <x:c r="R140" s="20" t="str">
        <x:f>IF(C140="standard",J140,"")</x:f>
      </x:c>
      <x:c r="S140" s="20" t="str">
        <x:f>IF(C140="high_accuracy",J140,"")</x:f>
      </x:c>
    </x:row>
    <x:row r="141">
      <x:c r="A141" s="57"/>
      <x:c r="B141" s="20"/>
      <x:c r="C141" s="20"/>
      <x:c r="D141" s="59"/>
      <x:c r="E141" s="20"/>
      <x:c r="F141" s="20"/>
      <x:c r="G141" s="20"/>
      <x:c r="H141" s="59"/>
      <x:c r="I141" s="20"/>
      <x:c r="J141" s="53"/>
      <x:c r="K141" s="53"/>
      <x:c r="L141" s="53"/>
      <x:c r="M141" s="53"/>
      <x:c r="N141" s="55"/>
      <x:c r="O141" s="20"/>
      <x:c r="P141" s="20"/>
      <x:c r="Q141" s="20"/>
      <x:c r="R141" s="20" t="str">
        <x:f>IF(C141="standard",J141,"")</x:f>
      </x:c>
      <x:c r="S141" s="20" t="str">
        <x:f>IF(C141="high_accuracy",J141,"")</x:f>
      </x:c>
    </x:row>
    <x:row r="142">
      <x:c r="A142" s="57"/>
      <x:c r="B142" s="20"/>
      <x:c r="C142" s="20"/>
      <x:c r="D142" s="59"/>
      <x:c r="E142" s="20"/>
      <x:c r="F142" s="20"/>
      <x:c r="G142" s="20"/>
      <x:c r="H142" s="59"/>
      <x:c r="I142" s="20"/>
      <x:c r="J142" s="53"/>
      <x:c r="K142" s="53"/>
      <x:c r="L142" s="53"/>
      <x:c r="M142" s="53"/>
      <x:c r="N142" s="55"/>
      <x:c r="O142" s="20"/>
      <x:c r="P142" s="20"/>
      <x:c r="Q142" s="20"/>
      <x:c r="R142" s="20" t="str">
        <x:f>IF(C142="standard",J142,"")</x:f>
      </x:c>
      <x:c r="S142" s="20" t="str">
        <x:f>IF(C142="high_accuracy",J142,"")</x:f>
      </x:c>
    </x:row>
    <x:row r="143">
      <x:c r="A143" s="57"/>
      <x:c r="B143" s="20"/>
      <x:c r="C143" s="20"/>
      <x:c r="D143" s="59"/>
      <x:c r="E143" s="20"/>
      <x:c r="F143" s="20"/>
      <x:c r="G143" s="20"/>
      <x:c r="H143" s="59"/>
      <x:c r="I143" s="20"/>
      <x:c r="J143" s="53"/>
      <x:c r="K143" s="53"/>
      <x:c r="L143" s="53"/>
      <x:c r="M143" s="53"/>
      <x:c r="N143" s="55"/>
      <x:c r="O143" s="20"/>
      <x:c r="P143" s="20"/>
      <x:c r="Q143" s="20"/>
      <x:c r="R143" s="20" t="str">
        <x:f>IF(C143="standard",J143,"")</x:f>
      </x:c>
      <x:c r="S143" s="20" t="str">
        <x:f>IF(C143="high_accuracy",J143,"")</x:f>
      </x:c>
    </x:row>
    <x:row r="144">
      <x:c r="A144" s="57"/>
      <x:c r="B144" s="20"/>
      <x:c r="C144" s="20"/>
      <x:c r="D144" s="59"/>
      <x:c r="E144" s="20"/>
      <x:c r="F144" s="20"/>
      <x:c r="G144" s="20"/>
      <x:c r="H144" s="59"/>
      <x:c r="I144" s="20"/>
      <x:c r="J144" s="53"/>
      <x:c r="K144" s="53"/>
      <x:c r="L144" s="53"/>
      <x:c r="M144" s="53"/>
      <x:c r="N144" s="55"/>
      <x:c r="O144" s="20"/>
      <x:c r="P144" s="20"/>
      <x:c r="Q144" s="20"/>
      <x:c r="R144" s="20" t="str">
        <x:f>IF(C144="standard",J144,"")</x:f>
      </x:c>
      <x:c r="S144" s="20" t="str">
        <x:f>IF(C144="high_accuracy",J144,"")</x:f>
      </x:c>
    </x:row>
    <x:row r="145">
      <x:c r="A145" s="57"/>
      <x:c r="B145" s="20"/>
      <x:c r="C145" s="20"/>
      <x:c r="D145" s="59"/>
      <x:c r="E145" s="20"/>
      <x:c r="F145" s="20"/>
      <x:c r="G145" s="20"/>
      <x:c r="H145" s="59"/>
      <x:c r="I145" s="20"/>
      <x:c r="J145" s="53"/>
      <x:c r="K145" s="53"/>
      <x:c r="L145" s="53"/>
      <x:c r="M145" s="53"/>
      <x:c r="N145" s="55"/>
      <x:c r="O145" s="20"/>
      <x:c r="P145" s="20"/>
      <x:c r="Q145" s="20"/>
      <x:c r="R145" s="20" t="str">
        <x:f>IF(C145="standard",J145,"")</x:f>
      </x:c>
      <x:c r="S145" s="20" t="str">
        <x:f>IF(C145="high_accuracy",J145,"")</x:f>
      </x:c>
    </x:row>
    <x:row r="146">
      <x:c r="A146" s="57"/>
      <x:c r="B146" s="20"/>
      <x:c r="C146" s="20"/>
      <x:c r="D146" s="59"/>
      <x:c r="E146" s="20"/>
      <x:c r="F146" s="20"/>
      <x:c r="G146" s="20"/>
      <x:c r="H146" s="59"/>
      <x:c r="I146" s="20"/>
      <x:c r="J146" s="53"/>
      <x:c r="K146" s="53"/>
      <x:c r="L146" s="53"/>
      <x:c r="M146" s="53"/>
      <x:c r="N146" s="55"/>
      <x:c r="O146" s="20"/>
      <x:c r="P146" s="20"/>
      <x:c r="Q146" s="20"/>
      <x:c r="R146" s="20" t="str">
        <x:f>IF(C146="standard",J146,"")</x:f>
      </x:c>
      <x:c r="S146" s="20" t="str">
        <x:f>IF(C146="high_accuracy",J146,"")</x:f>
      </x:c>
    </x:row>
    <x:row r="147">
      <x:c r="A147" s="57"/>
      <x:c r="B147" s="20"/>
      <x:c r="C147" s="20"/>
      <x:c r="D147" s="59"/>
      <x:c r="E147" s="20"/>
      <x:c r="F147" s="20"/>
      <x:c r="G147" s="20"/>
      <x:c r="H147" s="59"/>
      <x:c r="I147" s="20"/>
      <x:c r="J147" s="53"/>
      <x:c r="K147" s="53"/>
      <x:c r="L147" s="53"/>
      <x:c r="M147" s="53"/>
      <x:c r="N147" s="55"/>
      <x:c r="O147" s="20"/>
      <x:c r="P147" s="20"/>
      <x:c r="Q147" s="20"/>
      <x:c r="R147" s="20" t="str">
        <x:f>IF(C147="standard",J147,"")</x:f>
      </x:c>
      <x:c r="S147" s="20" t="str">
        <x:f>IF(C147="high_accuracy",J147,"")</x:f>
      </x:c>
    </x:row>
    <x:row r="148">
      <x:c r="A148" s="57"/>
      <x:c r="B148" s="20"/>
      <x:c r="C148" s="20"/>
      <x:c r="D148" s="59"/>
      <x:c r="E148" s="20"/>
      <x:c r="F148" s="20"/>
      <x:c r="G148" s="20"/>
      <x:c r="H148" s="59"/>
      <x:c r="I148" s="20"/>
      <x:c r="J148" s="53"/>
      <x:c r="K148" s="53"/>
      <x:c r="L148" s="53"/>
      <x:c r="M148" s="53"/>
      <x:c r="N148" s="55"/>
      <x:c r="O148" s="20"/>
      <x:c r="P148" s="20"/>
      <x:c r="Q148" s="20"/>
      <x:c r="R148" s="20" t="str">
        <x:f>IF(C148="standard",J148,"")</x:f>
      </x:c>
      <x:c r="S148" s="20" t="str">
        <x:f>IF(C148="high_accuracy",J148,"")</x:f>
      </x:c>
    </x:row>
    <x:row r="149">
      <x:c r="A149" s="57"/>
      <x:c r="B149" s="20"/>
      <x:c r="C149" s="20"/>
      <x:c r="D149" s="59"/>
      <x:c r="E149" s="20"/>
      <x:c r="F149" s="20"/>
      <x:c r="G149" s="20"/>
      <x:c r="H149" s="59"/>
      <x:c r="I149" s="20"/>
      <x:c r="J149" s="53"/>
      <x:c r="K149" s="53"/>
      <x:c r="L149" s="53"/>
      <x:c r="M149" s="53"/>
      <x:c r="N149" s="55"/>
      <x:c r="O149" s="20"/>
      <x:c r="P149" s="20"/>
      <x:c r="Q149" s="20"/>
      <x:c r="R149" s="20" t="str">
        <x:f>IF(C149="standard",J149,"")</x:f>
      </x:c>
      <x:c r="S149" s="20" t="str">
        <x:f>IF(C149="high_accuracy",J149,"")</x:f>
      </x:c>
    </x:row>
    <x:row r="150">
      <x:c r="A150" s="57"/>
      <x:c r="B150" s="20"/>
      <x:c r="C150" s="20"/>
      <x:c r="D150" s="59"/>
      <x:c r="E150" s="20"/>
      <x:c r="F150" s="20"/>
      <x:c r="G150" s="20"/>
      <x:c r="H150" s="59"/>
      <x:c r="I150" s="20"/>
      <x:c r="J150" s="53"/>
      <x:c r="K150" s="53"/>
      <x:c r="L150" s="53"/>
      <x:c r="M150" s="53"/>
      <x:c r="N150" s="55"/>
      <x:c r="O150" s="20"/>
      <x:c r="P150" s="20"/>
      <x:c r="Q150" s="20"/>
      <x:c r="R150" s="20" t="str">
        <x:f>IF(C150="standard",J150,"")</x:f>
      </x:c>
      <x:c r="S150" s="20" t="str">
        <x:f>IF(C150="high_accuracy",J150,"")</x:f>
      </x:c>
    </x:row>
    <x:row r="151">
      <x:c r="A151" s="57"/>
      <x:c r="B151" s="20"/>
      <x:c r="C151" s="20"/>
      <x:c r="D151" s="59"/>
      <x:c r="E151" s="20"/>
      <x:c r="F151" s="20"/>
      <x:c r="G151" s="20"/>
      <x:c r="H151" s="59"/>
      <x:c r="I151" s="20"/>
      <x:c r="J151" s="53"/>
      <x:c r="K151" s="53"/>
      <x:c r="L151" s="53"/>
      <x:c r="M151" s="53"/>
      <x:c r="N151" s="55"/>
      <x:c r="O151" s="20"/>
      <x:c r="P151" s="20"/>
      <x:c r="Q151" s="20"/>
      <x:c r="R151" s="20" t="str">
        <x:f>IF(C151="standard",J151,"")</x:f>
      </x:c>
      <x:c r="S151" s="20" t="str">
        <x:f>IF(C151="high_accuracy",J151,"")</x:f>
      </x:c>
    </x:row>
    <x:row r="152">
      <x:c r="A152" s="57"/>
      <x:c r="B152" s="20"/>
      <x:c r="C152" s="20"/>
      <x:c r="D152" s="59"/>
      <x:c r="E152" s="20"/>
      <x:c r="F152" s="20"/>
      <x:c r="G152" s="20"/>
      <x:c r="H152" s="59"/>
      <x:c r="I152" s="20"/>
      <x:c r="J152" s="53"/>
      <x:c r="K152" s="53"/>
      <x:c r="L152" s="53"/>
      <x:c r="M152" s="53"/>
      <x:c r="N152" s="55"/>
      <x:c r="O152" s="20"/>
      <x:c r="P152" s="20"/>
      <x:c r="Q152" s="20"/>
      <x:c r="R152" s="20" t="str">
        <x:f>IF(C152="standard",J152,"")</x:f>
      </x:c>
      <x:c r="S152" s="20" t="str">
        <x:f>IF(C152="high_accuracy",J152,"")</x:f>
      </x:c>
    </x:row>
    <x:row r="153">
      <x:c r="A153" s="57"/>
      <x:c r="B153" s="20"/>
      <x:c r="C153" s="20"/>
      <x:c r="D153" s="59"/>
      <x:c r="E153" s="20"/>
      <x:c r="F153" s="20"/>
      <x:c r="G153" s="20"/>
      <x:c r="H153" s="59"/>
      <x:c r="I153" s="20"/>
      <x:c r="J153" s="53"/>
      <x:c r="K153" s="53"/>
      <x:c r="L153" s="53"/>
      <x:c r="M153" s="53"/>
      <x:c r="N153" s="55"/>
      <x:c r="O153" s="20"/>
      <x:c r="P153" s="20"/>
      <x:c r="Q153" s="20"/>
      <x:c r="R153" s="20" t="str">
        <x:f>IF(C153="standard",J153,"")</x:f>
      </x:c>
      <x:c r="S153" s="20" t="str">
        <x:f>IF(C153="high_accuracy",J153,"")</x:f>
      </x:c>
    </x:row>
    <x:row r="154">
      <x:c r="A154" s="57"/>
      <x:c r="B154" s="20"/>
      <x:c r="C154" s="20"/>
      <x:c r="D154" s="59"/>
      <x:c r="E154" s="20"/>
      <x:c r="F154" s="20"/>
      <x:c r="G154" s="20"/>
      <x:c r="H154" s="59"/>
      <x:c r="I154" s="20"/>
      <x:c r="J154" s="53"/>
      <x:c r="K154" s="53"/>
      <x:c r="L154" s="53"/>
      <x:c r="M154" s="53"/>
      <x:c r="N154" s="55"/>
      <x:c r="O154" s="20"/>
      <x:c r="P154" s="20"/>
      <x:c r="Q154" s="20"/>
      <x:c r="R154" s="20" t="str">
        <x:f>IF(C154="standard",J154,"")</x:f>
      </x:c>
      <x:c r="S154" s="20" t="str">
        <x:f>IF(C154="high_accuracy",J154,"")</x:f>
      </x:c>
    </x:row>
    <x:row r="155">
      <x:c r="A155" s="57"/>
      <x:c r="B155" s="20"/>
      <x:c r="C155" s="20"/>
      <x:c r="D155" s="59"/>
      <x:c r="E155" s="20"/>
      <x:c r="F155" s="20"/>
      <x:c r="G155" s="20"/>
      <x:c r="H155" s="59"/>
      <x:c r="I155" s="20"/>
      <x:c r="J155" s="53"/>
      <x:c r="K155" s="53"/>
      <x:c r="L155" s="53"/>
      <x:c r="M155" s="53"/>
      <x:c r="N155" s="55"/>
      <x:c r="O155" s="20"/>
      <x:c r="P155" s="20"/>
      <x:c r="Q155" s="20"/>
      <x:c r="R155" s="20" t="str">
        <x:f>IF(C155="standard",J155,"")</x:f>
      </x:c>
      <x:c r="S155" s="20" t="str">
        <x:f>IF(C155="high_accuracy",J155,"")</x:f>
      </x:c>
    </x:row>
    <x:row r="156">
      <x:c r="A156" s="57"/>
      <x:c r="B156" s="20"/>
      <x:c r="C156" s="20"/>
      <x:c r="D156" s="59"/>
      <x:c r="E156" s="20"/>
      <x:c r="F156" s="20"/>
      <x:c r="G156" s="20"/>
      <x:c r="H156" s="59"/>
      <x:c r="I156" s="20"/>
      <x:c r="J156" s="53"/>
      <x:c r="K156" s="53"/>
      <x:c r="L156" s="53"/>
      <x:c r="M156" s="53"/>
      <x:c r="N156" s="55"/>
      <x:c r="O156" s="20"/>
      <x:c r="P156" s="20"/>
      <x:c r="Q156" s="20"/>
      <x:c r="R156" s="20" t="str">
        <x:f>IF(C156="standard",J156,"")</x:f>
      </x:c>
      <x:c r="S156" s="20" t="str">
        <x:f>IF(C156="high_accuracy",J156,"")</x:f>
      </x:c>
    </x:row>
    <x:row r="157">
      <x:c r="A157" s="57"/>
      <x:c r="B157" s="20"/>
      <x:c r="C157" s="20"/>
      <x:c r="D157" s="59"/>
      <x:c r="E157" s="20"/>
      <x:c r="F157" s="20"/>
      <x:c r="G157" s="20"/>
      <x:c r="H157" s="59"/>
      <x:c r="I157" s="20"/>
      <x:c r="J157" s="53"/>
      <x:c r="K157" s="53"/>
      <x:c r="L157" s="53"/>
      <x:c r="M157" s="53"/>
      <x:c r="N157" s="55"/>
      <x:c r="O157" s="20"/>
      <x:c r="P157" s="20"/>
      <x:c r="Q157" s="20"/>
      <x:c r="R157" s="20" t="str">
        <x:f>IF(C157="standard",J157,"")</x:f>
      </x:c>
      <x:c r="S157" s="20" t="str">
        <x:f>IF(C157="high_accuracy",J157,"")</x:f>
      </x:c>
    </x:row>
    <x:row r="158">
      <x:c r="A158" s="57"/>
      <x:c r="B158" s="20"/>
      <x:c r="C158" s="20"/>
      <x:c r="D158" s="59"/>
      <x:c r="E158" s="20"/>
      <x:c r="F158" s="20"/>
      <x:c r="G158" s="20"/>
      <x:c r="H158" s="59"/>
      <x:c r="I158" s="20"/>
      <x:c r="J158" s="53"/>
      <x:c r="K158" s="53"/>
      <x:c r="L158" s="53"/>
      <x:c r="M158" s="53"/>
      <x:c r="N158" s="55"/>
      <x:c r="O158" s="20"/>
      <x:c r="P158" s="20"/>
      <x:c r="Q158" s="20"/>
      <x:c r="R158" s="20" t="str">
        <x:f>IF(C158="standard",J158,"")</x:f>
      </x:c>
      <x:c r="S158" s="20" t="str">
        <x:f>IF(C158="high_accuracy",J158,"")</x:f>
      </x:c>
    </x:row>
    <x:row r="159">
      <x:c r="A159" s="57"/>
      <x:c r="B159" s="20"/>
      <x:c r="C159" s="20"/>
      <x:c r="D159" s="59"/>
      <x:c r="E159" s="20"/>
      <x:c r="F159" s="20"/>
      <x:c r="G159" s="20"/>
      <x:c r="H159" s="59"/>
      <x:c r="I159" s="20"/>
      <x:c r="J159" s="53"/>
      <x:c r="K159" s="53"/>
      <x:c r="L159" s="53"/>
      <x:c r="M159" s="53"/>
      <x:c r="N159" s="55"/>
      <x:c r="O159" s="20"/>
      <x:c r="P159" s="20"/>
      <x:c r="Q159" s="20"/>
      <x:c r="R159" s="20" t="str">
        <x:f>IF(C159="standard",J159,"")</x:f>
      </x:c>
      <x:c r="S159" s="20" t="str">
        <x:f>IF(C159="high_accuracy",J159,"")</x:f>
      </x:c>
    </x:row>
    <x:row r="160">
      <x:c r="A160" s="57"/>
      <x:c r="B160" s="20"/>
      <x:c r="C160" s="20"/>
      <x:c r="D160" s="59"/>
      <x:c r="E160" s="20"/>
      <x:c r="F160" s="20"/>
      <x:c r="G160" s="20"/>
      <x:c r="H160" s="59"/>
      <x:c r="I160" s="20"/>
      <x:c r="J160" s="53"/>
      <x:c r="K160" s="53"/>
      <x:c r="L160" s="53"/>
      <x:c r="M160" s="53"/>
      <x:c r="N160" s="55"/>
      <x:c r="O160" s="20"/>
      <x:c r="P160" s="20"/>
      <x:c r="Q160" s="20"/>
      <x:c r="R160" s="20" t="str">
        <x:f>IF(C160="standard",J160,"")</x:f>
      </x:c>
      <x:c r="S160" s="20" t="str">
        <x:f>IF(C160="high_accuracy",J160,"")</x:f>
      </x:c>
    </x:row>
    <x:row r="161">
      <x:c r="A161" s="57"/>
      <x:c r="B161" s="20"/>
      <x:c r="C161" s="20"/>
      <x:c r="D161" s="59"/>
      <x:c r="E161" s="20"/>
      <x:c r="F161" s="20"/>
      <x:c r="G161" s="20"/>
      <x:c r="H161" s="59"/>
      <x:c r="I161" s="20"/>
      <x:c r="J161" s="53"/>
      <x:c r="K161" s="53"/>
      <x:c r="L161" s="53"/>
      <x:c r="M161" s="53"/>
      <x:c r="N161" s="55"/>
      <x:c r="O161" s="20"/>
      <x:c r="P161" s="20"/>
      <x:c r="Q161" s="20"/>
      <x:c r="R161" s="20" t="str">
        <x:f>IF(C161="standard",J161,"")</x:f>
      </x:c>
      <x:c r="S161" s="20" t="str">
        <x:f>IF(C161="high_accuracy",J161,"")</x:f>
      </x:c>
    </x:row>
    <x:row r="162">
      <x:c r="A162" s="57"/>
      <x:c r="B162" s="20"/>
      <x:c r="C162" s="20"/>
      <x:c r="D162" s="59"/>
      <x:c r="E162" s="20"/>
      <x:c r="F162" s="20"/>
      <x:c r="G162" s="20"/>
      <x:c r="H162" s="59"/>
      <x:c r="I162" s="20"/>
      <x:c r="J162" s="53"/>
      <x:c r="K162" s="53"/>
      <x:c r="L162" s="53"/>
      <x:c r="M162" s="53"/>
      <x:c r="N162" s="55"/>
      <x:c r="O162" s="20"/>
      <x:c r="P162" s="20"/>
      <x:c r="Q162" s="20"/>
      <x:c r="R162" s="20" t="str">
        <x:f>IF(C162="standard",J162,"")</x:f>
      </x:c>
      <x:c r="S162" s="20" t="str">
        <x:f>IF(C162="high_accuracy",J162,"")</x:f>
      </x:c>
    </x:row>
    <x:row r="163">
      <x:c r="A163" s="57"/>
      <x:c r="B163" s="20"/>
      <x:c r="C163" s="20"/>
      <x:c r="D163" s="59"/>
      <x:c r="E163" s="20"/>
      <x:c r="F163" s="20"/>
      <x:c r="G163" s="20"/>
      <x:c r="H163" s="59"/>
      <x:c r="I163" s="20"/>
      <x:c r="J163" s="53"/>
      <x:c r="K163" s="53"/>
      <x:c r="L163" s="53"/>
      <x:c r="M163" s="53"/>
      <x:c r="N163" s="55"/>
      <x:c r="O163" s="20"/>
      <x:c r="P163" s="20"/>
      <x:c r="Q163" s="20"/>
      <x:c r="R163" s="20" t="str">
        <x:f>IF(C163="standard",J163,"")</x:f>
      </x:c>
      <x:c r="S163" s="20" t="str">
        <x:f>IF(C163="high_accuracy",J163,"")</x:f>
      </x:c>
    </x:row>
    <x:row r="164">
      <x:c r="A164" s="57"/>
      <x:c r="B164" s="20"/>
      <x:c r="C164" s="20"/>
      <x:c r="D164" s="59"/>
      <x:c r="E164" s="20"/>
      <x:c r="F164" s="20"/>
      <x:c r="G164" s="20"/>
      <x:c r="H164" s="59"/>
      <x:c r="I164" s="20"/>
      <x:c r="J164" s="53"/>
      <x:c r="K164" s="53"/>
      <x:c r="L164" s="53"/>
      <x:c r="M164" s="53"/>
      <x:c r="N164" s="55"/>
      <x:c r="O164" s="20"/>
      <x:c r="P164" s="20"/>
      <x:c r="Q164" s="20"/>
      <x:c r="R164" s="20" t="str">
        <x:f>IF(C164="standard",J164,"")</x:f>
      </x:c>
      <x:c r="S164" s="20" t="str">
        <x:f>IF(C164="high_accuracy",J164,"")</x:f>
      </x:c>
    </x:row>
    <x:row r="165">
      <x:c r="A165" s="57"/>
      <x:c r="B165" s="20"/>
      <x:c r="C165" s="20"/>
      <x:c r="D165" s="59"/>
      <x:c r="E165" s="20"/>
      <x:c r="F165" s="20"/>
      <x:c r="G165" s="20"/>
      <x:c r="H165" s="59"/>
      <x:c r="I165" s="20"/>
      <x:c r="J165" s="53"/>
      <x:c r="K165" s="53"/>
      <x:c r="L165" s="53"/>
      <x:c r="M165" s="53"/>
      <x:c r="N165" s="55"/>
      <x:c r="O165" s="20"/>
      <x:c r="P165" s="20"/>
      <x:c r="Q165" s="20"/>
      <x:c r="R165" s="20" t="str">
        <x:f>IF(C165="standard",J165,"")</x:f>
      </x:c>
      <x:c r="S165" s="20" t="str">
        <x:f>IF(C165="high_accuracy",J165,"")</x:f>
      </x:c>
    </x:row>
    <x:row r="166">
      <x:c r="A166" s="57"/>
      <x:c r="B166" s="20"/>
      <x:c r="C166" s="20"/>
      <x:c r="D166" s="59"/>
      <x:c r="E166" s="20"/>
      <x:c r="F166" s="20"/>
      <x:c r="G166" s="20"/>
      <x:c r="H166" s="59"/>
      <x:c r="I166" s="20"/>
      <x:c r="J166" s="53"/>
      <x:c r="K166" s="53"/>
      <x:c r="L166" s="53"/>
      <x:c r="M166" s="53"/>
      <x:c r="N166" s="55"/>
      <x:c r="O166" s="20"/>
      <x:c r="P166" s="20"/>
      <x:c r="Q166" s="20"/>
      <x:c r="R166" s="20" t="str">
        <x:f>IF(C166="standard",J166,"")</x:f>
      </x:c>
      <x:c r="S166" s="20" t="str">
        <x:f>IF(C166="high_accuracy",J166,"")</x:f>
      </x:c>
    </x:row>
    <x:row r="167">
      <x:c r="A167" s="57"/>
      <x:c r="B167" s="20"/>
      <x:c r="C167" s="20"/>
      <x:c r="D167" s="59"/>
      <x:c r="E167" s="20"/>
      <x:c r="F167" s="20"/>
      <x:c r="G167" s="20"/>
      <x:c r="H167" s="59"/>
      <x:c r="I167" s="20"/>
      <x:c r="J167" s="53"/>
      <x:c r="K167" s="53"/>
      <x:c r="L167" s="53"/>
      <x:c r="M167" s="53"/>
      <x:c r="N167" s="55"/>
      <x:c r="O167" s="20"/>
      <x:c r="P167" s="20"/>
      <x:c r="Q167" s="20"/>
      <x:c r="R167" s="20" t="str">
        <x:f>IF(C167="standard",J167,"")</x:f>
      </x:c>
      <x:c r="S167" s="20" t="str">
        <x:f>IF(C167="high_accuracy",J167,"")</x:f>
      </x:c>
    </x:row>
    <x:row r="168">
      <x:c r="A168" s="57"/>
      <x:c r="B168" s="20"/>
      <x:c r="C168" s="20"/>
      <x:c r="D168" s="59"/>
      <x:c r="E168" s="20"/>
      <x:c r="F168" s="20"/>
      <x:c r="G168" s="20"/>
      <x:c r="H168" s="59"/>
      <x:c r="I168" s="20"/>
      <x:c r="J168" s="53"/>
      <x:c r="K168" s="53"/>
      <x:c r="L168" s="53"/>
      <x:c r="M168" s="53"/>
      <x:c r="N168" s="55"/>
      <x:c r="O168" s="20"/>
      <x:c r="P168" s="20"/>
      <x:c r="Q168" s="20"/>
      <x:c r="R168" s="20" t="str">
        <x:f>IF(C168="standard",J168,"")</x:f>
      </x:c>
      <x:c r="S168" s="20" t="str">
        <x:f>IF(C168="high_accuracy",J168,"")</x:f>
      </x:c>
    </x:row>
    <x:row r="169">
      <x:c r="A169" s="57"/>
      <x:c r="B169" s="20"/>
      <x:c r="C169" s="20"/>
      <x:c r="D169" s="59"/>
      <x:c r="E169" s="20"/>
      <x:c r="F169" s="20"/>
      <x:c r="G169" s="20"/>
      <x:c r="H169" s="59"/>
      <x:c r="I169" s="20"/>
      <x:c r="J169" s="53"/>
      <x:c r="K169" s="53"/>
      <x:c r="L169" s="53"/>
      <x:c r="M169" s="53"/>
      <x:c r="N169" s="55"/>
      <x:c r="O169" s="20"/>
      <x:c r="P169" s="20"/>
      <x:c r="Q169" s="20"/>
      <x:c r="R169" s="20" t="str">
        <x:f>IF(C169="standard",J169,"")</x:f>
      </x:c>
      <x:c r="S169" s="20" t="str">
        <x:f>IF(C169="high_accuracy",J169,"")</x:f>
      </x:c>
    </x:row>
    <x:row r="170">
      <x:c r="A170" s="57"/>
      <x:c r="B170" s="20"/>
      <x:c r="C170" s="20"/>
      <x:c r="D170" s="59"/>
      <x:c r="E170" s="20"/>
      <x:c r="F170" s="20"/>
      <x:c r="G170" s="20"/>
      <x:c r="H170" s="59"/>
      <x:c r="I170" s="20"/>
      <x:c r="J170" s="53"/>
      <x:c r="K170" s="53"/>
      <x:c r="L170" s="53"/>
      <x:c r="M170" s="53"/>
      <x:c r="N170" s="55"/>
      <x:c r="O170" s="20"/>
      <x:c r="P170" s="20"/>
      <x:c r="Q170" s="20"/>
      <x:c r="R170" s="20" t="str">
        <x:f>IF(C170="standard",J170,"")</x:f>
      </x:c>
      <x:c r="S170" s="20" t="str">
        <x:f>IF(C170="high_accuracy",J170,"")</x:f>
      </x:c>
    </x:row>
    <x:row r="171">
      <x:c r="A171" s="57"/>
      <x:c r="B171" s="20"/>
      <x:c r="C171" s="20"/>
      <x:c r="D171" s="59"/>
      <x:c r="E171" s="20"/>
      <x:c r="F171" s="20"/>
      <x:c r="G171" s="20"/>
      <x:c r="H171" s="59"/>
      <x:c r="I171" s="20"/>
      <x:c r="J171" s="53"/>
      <x:c r="K171" s="53"/>
      <x:c r="L171" s="53"/>
      <x:c r="M171" s="53"/>
      <x:c r="N171" s="55"/>
      <x:c r="O171" s="20"/>
      <x:c r="P171" s="20"/>
      <x:c r="Q171" s="20"/>
      <x:c r="R171" s="20" t="str">
        <x:f>IF(C171="standard",J171,"")</x:f>
      </x:c>
      <x:c r="S171" s="20" t="str">
        <x:f>IF(C171="high_accuracy",J171,"")</x:f>
      </x:c>
    </x:row>
    <x:row r="172">
      <x:c r="A172" s="57"/>
      <x:c r="B172" s="20"/>
      <x:c r="C172" s="20"/>
      <x:c r="D172" s="59"/>
      <x:c r="E172" s="20"/>
      <x:c r="F172" s="20"/>
      <x:c r="G172" s="20"/>
      <x:c r="H172" s="59"/>
      <x:c r="I172" s="20"/>
      <x:c r="J172" s="53"/>
      <x:c r="K172" s="53"/>
      <x:c r="L172" s="53"/>
      <x:c r="M172" s="53"/>
      <x:c r="N172" s="55"/>
      <x:c r="O172" s="20"/>
      <x:c r="P172" s="20"/>
      <x:c r="Q172" s="20"/>
      <x:c r="R172" s="20" t="str">
        <x:f>IF(C172="standard",J172,"")</x:f>
      </x:c>
      <x:c r="S172" s="20" t="str">
        <x:f>IF(C172="high_accuracy",J172,"")</x:f>
      </x:c>
    </x:row>
    <x:row r="173">
      <x:c r="A173" s="57"/>
      <x:c r="B173" s="20"/>
      <x:c r="C173" s="20"/>
      <x:c r="D173" s="59"/>
      <x:c r="E173" s="20"/>
      <x:c r="F173" s="20"/>
      <x:c r="G173" s="20"/>
      <x:c r="H173" s="59"/>
      <x:c r="I173" s="20"/>
      <x:c r="J173" s="53"/>
      <x:c r="K173" s="53"/>
      <x:c r="L173" s="53"/>
      <x:c r="M173" s="53"/>
      <x:c r="N173" s="55"/>
      <x:c r="O173" s="20"/>
      <x:c r="P173" s="20"/>
      <x:c r="Q173" s="20"/>
      <x:c r="R173" s="20" t="str">
        <x:f>IF(C173="standard",J173,"")</x:f>
      </x:c>
      <x:c r="S173" s="20" t="str">
        <x:f>IF(C173="high_accuracy",J173,"")</x:f>
      </x:c>
    </x:row>
    <x:row r="174">
      <x:c r="A174" s="57"/>
      <x:c r="B174" s="20"/>
      <x:c r="C174" s="20"/>
      <x:c r="D174" s="59"/>
      <x:c r="E174" s="20"/>
      <x:c r="F174" s="20"/>
      <x:c r="G174" s="20"/>
      <x:c r="H174" s="59"/>
      <x:c r="I174" s="20"/>
      <x:c r="J174" s="53"/>
      <x:c r="K174" s="53"/>
      <x:c r="L174" s="53"/>
      <x:c r="M174" s="53"/>
      <x:c r="N174" s="55"/>
      <x:c r="O174" s="20"/>
      <x:c r="P174" s="20"/>
      <x:c r="Q174" s="20"/>
      <x:c r="R174" s="20" t="str">
        <x:f>IF(C174="standard",J174,"")</x:f>
      </x:c>
      <x:c r="S174" s="20" t="str">
        <x:f>IF(C174="high_accuracy",J174,"")</x:f>
      </x:c>
    </x:row>
    <x:row r="175">
      <x:c r="A175" s="57"/>
      <x:c r="B175" s="20"/>
      <x:c r="C175" s="20"/>
      <x:c r="D175" s="59"/>
      <x:c r="E175" s="20"/>
      <x:c r="F175" s="20"/>
      <x:c r="G175" s="20"/>
      <x:c r="H175" s="59"/>
      <x:c r="I175" s="20"/>
      <x:c r="J175" s="53"/>
      <x:c r="K175" s="53"/>
      <x:c r="L175" s="53"/>
      <x:c r="M175" s="53"/>
      <x:c r="N175" s="55"/>
      <x:c r="O175" s="20"/>
      <x:c r="P175" s="20"/>
      <x:c r="Q175" s="20"/>
      <x:c r="R175" s="20" t="str">
        <x:f>IF(C175="standard",J175,"")</x:f>
      </x:c>
      <x:c r="S175" s="20" t="str">
        <x:f>IF(C175="high_accuracy",J175,"")</x:f>
      </x:c>
    </x:row>
    <x:row r="176">
      <x:c r="A176" s="57"/>
      <x:c r="B176" s="20"/>
      <x:c r="C176" s="20"/>
      <x:c r="D176" s="59"/>
      <x:c r="E176" s="20"/>
      <x:c r="F176" s="20"/>
      <x:c r="G176" s="20"/>
      <x:c r="H176" s="59"/>
      <x:c r="I176" s="20"/>
      <x:c r="J176" s="53"/>
      <x:c r="K176" s="53"/>
      <x:c r="L176" s="53"/>
      <x:c r="M176" s="53"/>
      <x:c r="N176" s="55"/>
      <x:c r="O176" s="20"/>
      <x:c r="P176" s="20"/>
      <x:c r="Q176" s="20"/>
      <x:c r="R176" s="20" t="str">
        <x:f>IF(C176="standard",J176,"")</x:f>
      </x:c>
      <x:c r="S176" s="20" t="str">
        <x:f>IF(C176="high_accuracy",J176,"")</x:f>
      </x:c>
    </x:row>
    <x:row r="177">
      <x:c r="A177" s="57"/>
      <x:c r="B177" s="20"/>
      <x:c r="C177" s="20"/>
      <x:c r="D177" s="59"/>
      <x:c r="E177" s="20"/>
      <x:c r="F177" s="20"/>
      <x:c r="G177" s="20"/>
      <x:c r="H177" s="59"/>
      <x:c r="I177" s="20"/>
      <x:c r="J177" s="53"/>
      <x:c r="K177" s="53"/>
      <x:c r="L177" s="53"/>
      <x:c r="M177" s="53"/>
      <x:c r="N177" s="55"/>
      <x:c r="O177" s="20"/>
      <x:c r="P177" s="20"/>
      <x:c r="Q177" s="20"/>
      <x:c r="R177" s="20" t="str">
        <x:f>IF(C177="standard",J177,"")</x:f>
      </x:c>
      <x:c r="S177" s="20" t="str">
        <x:f>IF(C177="high_accuracy",J177,"")</x:f>
      </x:c>
    </x:row>
    <x:row r="178">
      <x:c r="A178" s="57"/>
      <x:c r="B178" s="20"/>
      <x:c r="C178" s="20"/>
      <x:c r="D178" s="59"/>
      <x:c r="E178" s="20"/>
      <x:c r="F178" s="20"/>
      <x:c r="G178" s="20"/>
      <x:c r="H178" s="59"/>
      <x:c r="I178" s="20"/>
      <x:c r="J178" s="53"/>
      <x:c r="K178" s="53"/>
      <x:c r="L178" s="53"/>
      <x:c r="M178" s="53"/>
      <x:c r="N178" s="55"/>
      <x:c r="O178" s="20"/>
      <x:c r="P178" s="20"/>
      <x:c r="Q178" s="20"/>
      <x:c r="R178" s="20" t="str">
        <x:f>IF(C178="standard",J178,"")</x:f>
      </x:c>
      <x:c r="S178" s="20" t="str">
        <x:f>IF(C178="high_accuracy",J178,"")</x:f>
      </x:c>
    </x:row>
    <x:row r="179">
      <x:c r="A179" s="57"/>
      <x:c r="B179" s="20"/>
      <x:c r="C179" s="20"/>
      <x:c r="D179" s="59"/>
      <x:c r="E179" s="20"/>
      <x:c r="F179" s="20"/>
      <x:c r="G179" s="20"/>
      <x:c r="H179" s="59"/>
      <x:c r="I179" s="20"/>
      <x:c r="J179" s="53"/>
      <x:c r="K179" s="53"/>
      <x:c r="L179" s="53"/>
      <x:c r="M179" s="53"/>
      <x:c r="N179" s="55"/>
      <x:c r="O179" s="20"/>
      <x:c r="P179" s="20"/>
      <x:c r="Q179" s="20"/>
      <x:c r="R179" s="20" t="str">
        <x:f>IF(C179="standard",J179,"")</x:f>
      </x:c>
      <x:c r="S179" s="20" t="str">
        <x:f>IF(C179="high_accuracy",J179,"")</x:f>
      </x:c>
    </x:row>
    <x:row r="180">
      <x:c r="A180" s="57"/>
      <x:c r="B180" s="20"/>
      <x:c r="C180" s="20"/>
      <x:c r="D180" s="59"/>
      <x:c r="E180" s="20"/>
      <x:c r="F180" s="20"/>
      <x:c r="G180" s="20"/>
      <x:c r="H180" s="59"/>
      <x:c r="I180" s="20"/>
      <x:c r="J180" s="53"/>
      <x:c r="K180" s="53"/>
      <x:c r="L180" s="53"/>
      <x:c r="M180" s="53"/>
      <x:c r="N180" s="55"/>
      <x:c r="O180" s="20"/>
      <x:c r="P180" s="20"/>
      <x:c r="Q180" s="20"/>
      <x:c r="R180" s="20" t="str">
        <x:f>IF(C180="standard",J180,"")</x:f>
      </x:c>
      <x:c r="S180" s="20" t="str">
        <x:f>IF(C180="high_accuracy",J180,"")</x:f>
      </x:c>
    </x:row>
    <x:row r="181">
      <x:c r="A181" s="57"/>
      <x:c r="B181" s="20"/>
      <x:c r="C181" s="20"/>
      <x:c r="D181" s="59"/>
      <x:c r="E181" s="20"/>
      <x:c r="F181" s="20"/>
      <x:c r="G181" s="20"/>
      <x:c r="H181" s="59"/>
      <x:c r="I181" s="20"/>
      <x:c r="J181" s="53"/>
      <x:c r="K181" s="53"/>
      <x:c r="L181" s="53"/>
      <x:c r="M181" s="53"/>
      <x:c r="N181" s="55"/>
      <x:c r="O181" s="20"/>
      <x:c r="P181" s="20"/>
      <x:c r="Q181" s="20"/>
      <x:c r="R181" s="20" t="str">
        <x:f>IF(C181="standard",J181,"")</x:f>
      </x:c>
      <x:c r="S181" s="20" t="str">
        <x:f>IF(C181="high_accuracy",J181,"")</x:f>
      </x:c>
    </x:row>
    <x:row r="182">
      <x:c r="A182" s="57"/>
      <x:c r="B182" s="20"/>
      <x:c r="C182" s="20"/>
      <x:c r="D182" s="59"/>
      <x:c r="E182" s="20"/>
      <x:c r="F182" s="20"/>
      <x:c r="G182" s="20"/>
      <x:c r="H182" s="59"/>
      <x:c r="I182" s="20"/>
      <x:c r="J182" s="53"/>
      <x:c r="K182" s="53"/>
      <x:c r="L182" s="53"/>
      <x:c r="M182" s="53"/>
      <x:c r="N182" s="55"/>
      <x:c r="O182" s="20"/>
      <x:c r="P182" s="20"/>
      <x:c r="Q182" s="20"/>
      <x:c r="R182" s="20" t="str">
        <x:f>IF(C182="standard",J182,"")</x:f>
      </x:c>
      <x:c r="S182" s="20" t="str">
        <x:f>IF(C182="high_accuracy",J182,"")</x:f>
      </x:c>
    </x:row>
    <x:row r="183">
      <x:c r="A183" s="57"/>
      <x:c r="B183" s="20"/>
      <x:c r="C183" s="20"/>
      <x:c r="D183" s="59"/>
      <x:c r="E183" s="20"/>
      <x:c r="F183" s="20"/>
      <x:c r="G183" s="20"/>
      <x:c r="H183" s="59"/>
      <x:c r="I183" s="20"/>
      <x:c r="J183" s="53"/>
      <x:c r="K183" s="53"/>
      <x:c r="L183" s="53"/>
      <x:c r="M183" s="53"/>
      <x:c r="N183" s="55"/>
      <x:c r="O183" s="20"/>
      <x:c r="P183" s="20"/>
      <x:c r="Q183" s="20"/>
      <x:c r="R183" s="20" t="str">
        <x:f>IF(C183="standard",J183,"")</x:f>
      </x:c>
      <x:c r="S183" s="20" t="str">
        <x:f>IF(C183="high_accuracy",J183,"")</x:f>
      </x:c>
    </x:row>
    <x:row r="184">
      <x:c r="A184" s="57"/>
      <x:c r="B184" s="20"/>
      <x:c r="C184" s="20"/>
      <x:c r="D184" s="59"/>
      <x:c r="E184" s="20"/>
      <x:c r="F184" s="20"/>
      <x:c r="G184" s="20"/>
      <x:c r="H184" s="59"/>
      <x:c r="I184" s="20"/>
      <x:c r="J184" s="53"/>
      <x:c r="K184" s="53"/>
      <x:c r="L184" s="53"/>
      <x:c r="M184" s="53"/>
      <x:c r="N184" s="55"/>
      <x:c r="O184" s="20"/>
      <x:c r="P184" s="20"/>
      <x:c r="Q184" s="20"/>
      <x:c r="R184" s="20" t="str">
        <x:f>IF(C184="standard",J184,"")</x:f>
      </x:c>
      <x:c r="S184" s="20" t="str">
        <x:f>IF(C184="high_accuracy",J184,"")</x:f>
      </x:c>
    </x:row>
    <x:row r="185">
      <x:c r="A185" s="57"/>
      <x:c r="B185" s="20"/>
      <x:c r="C185" s="20"/>
      <x:c r="D185" s="59"/>
      <x:c r="E185" s="20"/>
      <x:c r="F185" s="20"/>
      <x:c r="G185" s="20"/>
      <x:c r="H185" s="59"/>
      <x:c r="I185" s="20"/>
      <x:c r="J185" s="53"/>
      <x:c r="K185" s="53"/>
      <x:c r="L185" s="53"/>
      <x:c r="M185" s="53"/>
      <x:c r="N185" s="55"/>
      <x:c r="O185" s="20"/>
      <x:c r="P185" s="20"/>
      <x:c r="Q185" s="20"/>
      <x:c r="R185" s="20" t="str">
        <x:f>IF(C185="standard",J185,"")</x:f>
      </x:c>
      <x:c r="S185" s="20" t="str">
        <x:f>IF(C185="high_accuracy",J185,"")</x:f>
      </x:c>
    </x:row>
    <x:row r="186">
      <x:c r="A186" s="57"/>
      <x:c r="B186" s="20"/>
      <x:c r="C186" s="20"/>
      <x:c r="D186" s="59"/>
      <x:c r="E186" s="20"/>
      <x:c r="F186" s="20"/>
      <x:c r="G186" s="20"/>
      <x:c r="H186" s="59"/>
      <x:c r="I186" s="20"/>
      <x:c r="J186" s="53"/>
      <x:c r="K186" s="53"/>
      <x:c r="L186" s="53"/>
      <x:c r="M186" s="53"/>
      <x:c r="N186" s="55"/>
      <x:c r="O186" s="20"/>
      <x:c r="P186" s="20"/>
      <x:c r="Q186" s="20"/>
      <x:c r="R186" s="20" t="str">
        <x:f>IF(C186="standard",J186,"")</x:f>
      </x:c>
      <x:c r="S186" s="20" t="str">
        <x:f>IF(C186="high_accuracy",J186,"")</x:f>
      </x:c>
    </x:row>
    <x:row r="187">
      <x:c r="A187" s="57"/>
      <x:c r="B187" s="20"/>
      <x:c r="C187" s="20"/>
      <x:c r="D187" s="59"/>
      <x:c r="E187" s="20"/>
      <x:c r="F187" s="20"/>
      <x:c r="G187" s="20"/>
      <x:c r="H187" s="59"/>
      <x:c r="I187" s="20"/>
      <x:c r="J187" s="53"/>
      <x:c r="K187" s="53"/>
      <x:c r="L187" s="53"/>
      <x:c r="M187" s="53"/>
      <x:c r="N187" s="55"/>
      <x:c r="O187" s="20"/>
      <x:c r="P187" s="20"/>
      <x:c r="Q187" s="20"/>
      <x:c r="R187" s="20" t="str">
        <x:f>IF(C187="standard",J187,"")</x:f>
      </x:c>
      <x:c r="S187" s="20" t="str">
        <x:f>IF(C187="high_accuracy",J187,"")</x:f>
      </x:c>
    </x:row>
    <x:row r="188">
      <x:c r="A188" s="57"/>
      <x:c r="B188" s="20"/>
      <x:c r="C188" s="20"/>
      <x:c r="D188" s="59"/>
      <x:c r="E188" s="20"/>
      <x:c r="F188" s="20"/>
      <x:c r="G188" s="20"/>
      <x:c r="H188" s="59"/>
      <x:c r="I188" s="20"/>
      <x:c r="J188" s="53"/>
      <x:c r="K188" s="53"/>
      <x:c r="L188" s="53"/>
      <x:c r="M188" s="53"/>
      <x:c r="N188" s="55"/>
      <x:c r="O188" s="20"/>
      <x:c r="P188" s="20"/>
      <x:c r="Q188" s="20"/>
      <x:c r="R188" s="20" t="str">
        <x:f>IF(C188="standard",J188,"")</x:f>
      </x:c>
      <x:c r="S188" s="20" t="str">
        <x:f>IF(C188="high_accuracy",J188,"")</x:f>
      </x:c>
    </x:row>
    <x:row r="189">
      <x:c r="A189" s="57"/>
      <x:c r="B189" s="20"/>
      <x:c r="C189" s="20"/>
      <x:c r="D189" s="59"/>
      <x:c r="E189" s="20"/>
      <x:c r="F189" s="20"/>
      <x:c r="G189" s="20"/>
      <x:c r="H189" s="59"/>
      <x:c r="I189" s="20"/>
      <x:c r="J189" s="53"/>
      <x:c r="K189" s="53"/>
      <x:c r="L189" s="53"/>
      <x:c r="M189" s="53"/>
      <x:c r="N189" s="55"/>
      <x:c r="O189" s="20"/>
      <x:c r="P189" s="20"/>
      <x:c r="Q189" s="20"/>
      <x:c r="R189" s="20" t="str">
        <x:f>IF(C189="standard",J189,"")</x:f>
      </x:c>
      <x:c r="S189" s="20" t="str">
        <x:f>IF(C189="high_accuracy",J189,"")</x:f>
      </x:c>
    </x:row>
    <x:row r="190">
      <x:c r="A190" s="57"/>
      <x:c r="B190" s="20"/>
      <x:c r="C190" s="20"/>
      <x:c r="D190" s="59"/>
      <x:c r="E190" s="20"/>
      <x:c r="F190" s="20"/>
      <x:c r="G190" s="20"/>
      <x:c r="H190" s="59"/>
      <x:c r="I190" s="20"/>
      <x:c r="J190" s="53"/>
      <x:c r="K190" s="53"/>
      <x:c r="L190" s="53"/>
      <x:c r="M190" s="53"/>
      <x:c r="N190" s="55"/>
      <x:c r="O190" s="20"/>
      <x:c r="P190" s="20"/>
      <x:c r="Q190" s="20"/>
      <x:c r="R190" s="20" t="str">
        <x:f>IF(C190="standard",J190,"")</x:f>
      </x:c>
      <x:c r="S190" s="20" t="str">
        <x:f>IF(C190="high_accuracy",J190,"")</x:f>
      </x:c>
    </x:row>
    <x:row r="191">
      <x:c r="A191" s="57"/>
      <x:c r="B191" s="20"/>
      <x:c r="C191" s="20"/>
      <x:c r="D191" s="59"/>
      <x:c r="E191" s="20"/>
      <x:c r="F191" s="20"/>
      <x:c r="G191" s="20"/>
      <x:c r="H191" s="59"/>
      <x:c r="I191" s="20"/>
      <x:c r="J191" s="53"/>
      <x:c r="K191" s="53"/>
      <x:c r="L191" s="53"/>
      <x:c r="M191" s="53"/>
      <x:c r="N191" s="55"/>
      <x:c r="O191" s="20"/>
      <x:c r="P191" s="20"/>
      <x:c r="Q191" s="20"/>
      <x:c r="R191" s="20" t="str">
        <x:f>IF(C191="standard",J191,"")</x:f>
      </x:c>
      <x:c r="S191" s="20" t="str">
        <x:f>IF(C191="high_accuracy",J191,"")</x:f>
      </x:c>
    </x:row>
    <x:row r="192">
      <x:c r="A192" s="57"/>
      <x:c r="B192" s="20"/>
      <x:c r="C192" s="20"/>
      <x:c r="D192" s="59"/>
      <x:c r="E192" s="20"/>
      <x:c r="F192" s="20"/>
      <x:c r="G192" s="20"/>
      <x:c r="H192" s="59"/>
      <x:c r="I192" s="20"/>
      <x:c r="J192" s="53"/>
      <x:c r="K192" s="53"/>
      <x:c r="L192" s="53"/>
      <x:c r="M192" s="53"/>
      <x:c r="N192" s="55"/>
      <x:c r="O192" s="20"/>
      <x:c r="P192" s="20"/>
      <x:c r="Q192" s="20"/>
      <x:c r="R192" s="20" t="str">
        <x:f>IF(C192="standard",J192,"")</x:f>
      </x:c>
      <x:c r="S192" s="20" t="str">
        <x:f>IF(C192="high_accuracy",J192,"")</x:f>
      </x:c>
    </x:row>
    <x:row r="193">
      <x:c r="A193" s="57"/>
      <x:c r="B193" s="20"/>
      <x:c r="C193" s="20"/>
      <x:c r="D193" s="59"/>
      <x:c r="E193" s="20"/>
      <x:c r="F193" s="20"/>
      <x:c r="G193" s="20"/>
      <x:c r="H193" s="59"/>
      <x:c r="I193" s="20"/>
      <x:c r="J193" s="53"/>
      <x:c r="K193" s="53"/>
      <x:c r="L193" s="53"/>
      <x:c r="M193" s="53"/>
      <x:c r="N193" s="55"/>
      <x:c r="O193" s="20"/>
      <x:c r="P193" s="20"/>
      <x:c r="Q193" s="20"/>
      <x:c r="R193" s="20" t="str">
        <x:f>IF(C193="standard",J193,"")</x:f>
      </x:c>
      <x:c r="S193" s="20" t="str">
        <x:f>IF(C193="high_accuracy",J193,"")</x:f>
      </x:c>
    </x:row>
    <x:row r="194">
      <x:c r="A194" s="57"/>
      <x:c r="B194" s="20"/>
      <x:c r="C194" s="20"/>
      <x:c r="D194" s="59"/>
      <x:c r="E194" s="20"/>
      <x:c r="F194" s="20"/>
      <x:c r="G194" s="20"/>
      <x:c r="H194" s="59"/>
      <x:c r="I194" s="20"/>
      <x:c r="J194" s="53"/>
      <x:c r="K194" s="53"/>
      <x:c r="L194" s="53"/>
      <x:c r="M194" s="53"/>
      <x:c r="N194" s="55"/>
      <x:c r="O194" s="20"/>
      <x:c r="P194" s="20"/>
      <x:c r="Q194" s="20"/>
      <x:c r="R194" s="20" t="str">
        <x:f>IF(C194="standard",J194,"")</x:f>
      </x:c>
      <x:c r="S194" s="20" t="str">
        <x:f>IF(C194="high_accuracy",J194,"")</x:f>
      </x:c>
    </x:row>
    <x:row r="195">
      <x:c r="A195" s="57"/>
      <x:c r="B195" s="20"/>
      <x:c r="C195" s="20"/>
      <x:c r="D195" s="59"/>
      <x:c r="E195" s="20"/>
      <x:c r="F195" s="20"/>
      <x:c r="G195" s="20"/>
      <x:c r="H195" s="59"/>
      <x:c r="I195" s="20"/>
      <x:c r="J195" s="53"/>
      <x:c r="K195" s="53"/>
      <x:c r="L195" s="53"/>
      <x:c r="M195" s="53"/>
      <x:c r="N195" s="55"/>
      <x:c r="O195" s="20"/>
      <x:c r="P195" s="20"/>
      <x:c r="Q195" s="20"/>
      <x:c r="R195" s="20" t="str">
        <x:f>IF(C195="standard",J195,"")</x:f>
      </x:c>
      <x:c r="S195" s="20" t="str">
        <x:f>IF(C195="high_accuracy",J195,"")</x:f>
      </x:c>
    </x:row>
    <x:row r="196">
      <x:c r="A196" s="57"/>
      <x:c r="B196" s="20"/>
      <x:c r="C196" s="20"/>
      <x:c r="D196" s="59"/>
      <x:c r="E196" s="20"/>
      <x:c r="F196" s="20"/>
      <x:c r="G196" s="20"/>
      <x:c r="H196" s="59"/>
      <x:c r="I196" s="20"/>
      <x:c r="J196" s="53"/>
      <x:c r="K196" s="53"/>
      <x:c r="L196" s="53"/>
      <x:c r="M196" s="53"/>
      <x:c r="N196" s="55"/>
      <x:c r="O196" s="20"/>
      <x:c r="P196" s="20"/>
      <x:c r="Q196" s="20"/>
      <x:c r="R196" s="20" t="str">
        <x:f>IF(C196="standard",J196,"")</x:f>
      </x:c>
      <x:c r="S196" s="20" t="str">
        <x:f>IF(C196="high_accuracy",J196,"")</x:f>
      </x:c>
    </x:row>
    <x:row r="197">
      <x:c r="A197" s="57"/>
      <x:c r="B197" s="20"/>
      <x:c r="C197" s="20"/>
      <x:c r="D197" s="59"/>
      <x:c r="E197" s="20"/>
      <x:c r="F197" s="20"/>
      <x:c r="G197" s="20"/>
      <x:c r="H197" s="59"/>
      <x:c r="I197" s="20"/>
      <x:c r="J197" s="53"/>
      <x:c r="K197" s="53"/>
      <x:c r="L197" s="53"/>
      <x:c r="M197" s="53"/>
      <x:c r="N197" s="55"/>
      <x:c r="O197" s="20"/>
      <x:c r="P197" s="20"/>
      <x:c r="Q197" s="20"/>
      <x:c r="R197" s="20" t="str">
        <x:f>IF(C197="standard",J197,"")</x:f>
      </x:c>
      <x:c r="S197" s="20" t="str">
        <x:f>IF(C197="high_accuracy",J197,"")</x:f>
      </x:c>
    </x:row>
    <x:row r="198">
      <x:c r="A198" s="57"/>
      <x:c r="B198" s="20"/>
      <x:c r="C198" s="20"/>
      <x:c r="D198" s="59"/>
      <x:c r="E198" s="20"/>
      <x:c r="F198" s="20"/>
      <x:c r="G198" s="20"/>
      <x:c r="H198" s="59"/>
      <x:c r="I198" s="20"/>
      <x:c r="J198" s="53"/>
      <x:c r="K198" s="53"/>
      <x:c r="L198" s="53"/>
      <x:c r="M198" s="53"/>
      <x:c r="N198" s="55"/>
      <x:c r="O198" s="20"/>
      <x:c r="P198" s="20"/>
      <x:c r="Q198" s="20"/>
      <x:c r="R198" s="20" t="str">
        <x:f>IF(C198="standard",J198,"")</x:f>
      </x:c>
      <x:c r="S198" s="20" t="str">
        <x:f>IF(C198="high_accuracy",J198,"")</x:f>
      </x:c>
    </x:row>
    <x:row r="199">
      <x:c r="A199" s="57"/>
      <x:c r="B199" s="20"/>
      <x:c r="C199" s="20"/>
      <x:c r="D199" s="59"/>
      <x:c r="E199" s="20"/>
      <x:c r="F199" s="20"/>
      <x:c r="G199" s="20"/>
      <x:c r="H199" s="59"/>
      <x:c r="I199" s="20"/>
      <x:c r="J199" s="53"/>
      <x:c r="K199" s="53"/>
      <x:c r="L199" s="53"/>
      <x:c r="M199" s="53"/>
      <x:c r="N199" s="55"/>
      <x:c r="O199" s="20"/>
      <x:c r="P199" s="20"/>
      <x:c r="Q199" s="20"/>
      <x:c r="R199" s="20" t="str">
        <x:f>IF(C199="standard",J199,"")</x:f>
      </x:c>
      <x:c r="S199" s="20" t="str">
        <x:f>IF(C199="high_accuracy",J199,"")</x:f>
      </x:c>
    </x:row>
    <x:row r="200">
      <x:c r="A200" s="57"/>
      <x:c r="B200" s="20"/>
      <x:c r="C200" s="20"/>
      <x:c r="D200" s="59"/>
      <x:c r="E200" s="20"/>
      <x:c r="F200" s="20"/>
      <x:c r="G200" s="20"/>
      <x:c r="H200" s="59"/>
      <x:c r="I200" s="20"/>
      <x:c r="J200" s="53"/>
      <x:c r="K200" s="53"/>
      <x:c r="L200" s="53"/>
      <x:c r="M200" s="53"/>
      <x:c r="N200" s="55"/>
      <x:c r="O200" s="20"/>
      <x:c r="P200" s="20"/>
      <x:c r="Q200" s="20"/>
      <x:c r="R200" s="20" t="str">
        <x:f>IF(C200="standard",J200,"")</x:f>
      </x:c>
      <x:c r="S200" s="20" t="str">
        <x:f>IF(C200="high_accuracy",J200,"")</x:f>
      </x:c>
    </x:row>
    <x:row r="201">
      <x:c r="A201" s="57"/>
      <x:c r="B201" s="20"/>
      <x:c r="C201" s="20"/>
      <x:c r="D201" s="59"/>
      <x:c r="E201" s="20"/>
      <x:c r="F201" s="20"/>
      <x:c r="G201" s="20"/>
      <x:c r="H201" s="59"/>
      <x:c r="I201" s="20"/>
      <x:c r="J201" s="53"/>
      <x:c r="K201" s="53"/>
      <x:c r="L201" s="53"/>
      <x:c r="M201" s="53"/>
      <x:c r="N201" s="55"/>
      <x:c r="O201" s="20"/>
      <x:c r="P201" s="20"/>
      <x:c r="Q201" s="20"/>
      <x:c r="R201" s="20" t="str">
        <x:f>IF(C201="standard",J201,"")</x:f>
      </x:c>
      <x:c r="S201" s="20" t="str">
        <x:f>IF(C201="high_accuracy",J201,"")</x:f>
      </x:c>
    </x:row>
    <x:row r="202">
      <x:c r="A202" s="57"/>
      <x:c r="B202" s="20"/>
      <x:c r="C202" s="20"/>
      <x:c r="D202" s="59"/>
      <x:c r="E202" s="20"/>
      <x:c r="F202" s="20"/>
      <x:c r="G202" s="20"/>
      <x:c r="H202" s="59"/>
      <x:c r="I202" s="20"/>
      <x:c r="J202" s="53"/>
      <x:c r="K202" s="53"/>
      <x:c r="L202" s="53"/>
      <x:c r="M202" s="53"/>
      <x:c r="N202" s="55"/>
      <x:c r="O202" s="20"/>
      <x:c r="P202" s="20"/>
      <x:c r="Q202" s="20"/>
      <x:c r="R202" s="20" t="str">
        <x:f>IF(C202="standard",J202,"")</x:f>
      </x:c>
      <x:c r="S202" s="20" t="str">
        <x:f>IF(C202="high_accuracy",J202,"")</x:f>
      </x:c>
    </x:row>
    <x:row r="203">
      <x:c r="A203" s="57"/>
      <x:c r="B203" s="20"/>
      <x:c r="C203" s="20"/>
      <x:c r="D203" s="59"/>
      <x:c r="E203" s="20"/>
      <x:c r="F203" s="20"/>
      <x:c r="G203" s="20"/>
      <x:c r="H203" s="59"/>
      <x:c r="I203" s="20"/>
      <x:c r="J203" s="53"/>
      <x:c r="K203" s="53"/>
      <x:c r="L203" s="53"/>
      <x:c r="M203" s="53"/>
      <x:c r="N203" s="55"/>
      <x:c r="O203" s="20"/>
      <x:c r="P203" s="20"/>
      <x:c r="Q203" s="20"/>
      <x:c r="R203" s="20" t="str">
        <x:f>IF(C203="standard",J203,"")</x:f>
      </x:c>
      <x:c r="S203" s="20" t="str">
        <x:f>IF(C203="high_accuracy",J203,"")</x:f>
      </x:c>
    </x:row>
    <x:row r="204">
      <x:c r="A204" s="57"/>
      <x:c r="B204" s="20"/>
      <x:c r="C204" s="20"/>
      <x:c r="D204" s="59"/>
      <x:c r="E204" s="20"/>
      <x:c r="F204" s="20"/>
      <x:c r="G204" s="20"/>
      <x:c r="H204" s="59"/>
      <x:c r="I204" s="20"/>
      <x:c r="J204" s="53"/>
      <x:c r="K204" s="53"/>
      <x:c r="L204" s="53"/>
      <x:c r="M204" s="53"/>
      <x:c r="N204" s="55"/>
      <x:c r="O204" s="20"/>
      <x:c r="P204" s="20"/>
      <x:c r="Q204" s="20"/>
      <x:c r="R204" s="20" t="str">
        <x:f>IF(C204="standard",J204,"")</x:f>
      </x:c>
      <x:c r="S204" s="20" t="str">
        <x:f>IF(C204="high_accuracy",J204,"")</x:f>
      </x:c>
    </x:row>
    <x:row r="205">
      <x:c r="A205" s="57"/>
      <x:c r="B205" s="20"/>
      <x:c r="C205" s="20"/>
      <x:c r="D205" s="59"/>
      <x:c r="E205" s="20"/>
      <x:c r="F205" s="20"/>
      <x:c r="G205" s="20"/>
      <x:c r="H205" s="59"/>
      <x:c r="I205" s="20"/>
      <x:c r="J205" s="53"/>
      <x:c r="K205" s="53"/>
      <x:c r="L205" s="53"/>
      <x:c r="M205" s="53"/>
      <x:c r="N205" s="55"/>
      <x:c r="O205" s="20"/>
      <x:c r="P205" s="20"/>
      <x:c r="Q205" s="20"/>
      <x:c r="R205" s="20" t="str">
        <x:f>IF(C205="standard",J205,"")</x:f>
      </x:c>
      <x:c r="S205" s="20" t="str">
        <x:f>IF(C205="high_accuracy",J205,"")</x:f>
      </x:c>
    </x:row>
    <x:row r="206">
      <x:c r="A206" s="57"/>
      <x:c r="B206" s="20"/>
      <x:c r="C206" s="20"/>
      <x:c r="D206" s="59"/>
      <x:c r="E206" s="20"/>
      <x:c r="F206" s="20"/>
      <x:c r="G206" s="20"/>
      <x:c r="H206" s="59"/>
      <x:c r="I206" s="20"/>
      <x:c r="J206" s="53"/>
      <x:c r="K206" s="53"/>
      <x:c r="L206" s="53"/>
      <x:c r="M206" s="53"/>
      <x:c r="N206" s="55"/>
      <x:c r="O206" s="20"/>
      <x:c r="P206" s="20"/>
      <x:c r="Q206" s="20"/>
      <x:c r="R206" s="20" t="str">
        <x:f>IF(C206="standard",J206,"")</x:f>
      </x:c>
      <x:c r="S206" s="20" t="str">
        <x:f>IF(C206="high_accuracy",J206,"")</x:f>
      </x:c>
    </x:row>
    <x:row r="207">
      <x:c r="A207" s="57"/>
      <x:c r="B207" s="20"/>
      <x:c r="C207" s="20"/>
      <x:c r="D207" s="59"/>
      <x:c r="E207" s="20"/>
      <x:c r="F207" s="20"/>
      <x:c r="G207" s="20"/>
      <x:c r="H207" s="59"/>
      <x:c r="I207" s="20"/>
      <x:c r="J207" s="53"/>
      <x:c r="K207" s="53"/>
      <x:c r="L207" s="53"/>
      <x:c r="M207" s="53"/>
      <x:c r="N207" s="55"/>
      <x:c r="O207" s="20"/>
      <x:c r="P207" s="20"/>
      <x:c r="Q207" s="20"/>
      <x:c r="R207" s="20" t="str">
        <x:f>IF(C207="standard",J207,"")</x:f>
      </x:c>
      <x:c r="S207" s="20" t="str">
        <x:f>IF(C207="high_accuracy",J207,"")</x:f>
      </x:c>
    </x:row>
    <x:row r="208">
      <x:c r="A208" s="57"/>
      <x:c r="B208" s="20"/>
      <x:c r="C208" s="20"/>
      <x:c r="D208" s="59"/>
      <x:c r="E208" s="20"/>
      <x:c r="F208" s="20"/>
      <x:c r="G208" s="20"/>
      <x:c r="H208" s="59"/>
      <x:c r="I208" s="20"/>
      <x:c r="J208" s="53"/>
      <x:c r="K208" s="53"/>
      <x:c r="L208" s="53"/>
      <x:c r="M208" s="53"/>
      <x:c r="N208" s="55"/>
      <x:c r="O208" s="20"/>
      <x:c r="P208" s="20"/>
      <x:c r="Q208" s="20"/>
      <x:c r="R208" s="20" t="str">
        <x:f>IF(C208="standard",J208,"")</x:f>
      </x:c>
      <x:c r="S208" s="20" t="str">
        <x:f>IF(C208="high_accuracy",J208,"")</x:f>
      </x:c>
    </x:row>
    <x:row r="209">
      <x:c r="A209" s="57"/>
      <x:c r="B209" s="20"/>
      <x:c r="C209" s="20"/>
      <x:c r="D209" s="59"/>
      <x:c r="E209" s="20"/>
      <x:c r="F209" s="20"/>
      <x:c r="G209" s="20"/>
      <x:c r="H209" s="59"/>
      <x:c r="I209" s="20"/>
      <x:c r="J209" s="53"/>
      <x:c r="K209" s="53"/>
      <x:c r="L209" s="53"/>
      <x:c r="M209" s="53"/>
      <x:c r="N209" s="55"/>
      <x:c r="O209" s="20"/>
      <x:c r="P209" s="20"/>
      <x:c r="Q209" s="20"/>
      <x:c r="R209" s="20" t="str">
        <x:f>IF(C209="standard",J209,"")</x:f>
      </x:c>
      <x:c r="S209" s="20" t="str">
        <x:f>IF(C209="high_accuracy",J209,"")</x:f>
      </x:c>
    </x:row>
    <x:row r="210">
      <x:c r="A210" s="57"/>
      <x:c r="B210" s="20"/>
      <x:c r="C210" s="20"/>
      <x:c r="D210" s="59"/>
      <x:c r="E210" s="20"/>
      <x:c r="F210" s="20"/>
      <x:c r="G210" s="20"/>
      <x:c r="H210" s="59"/>
      <x:c r="I210" s="20"/>
      <x:c r="J210" s="53"/>
      <x:c r="K210" s="53"/>
      <x:c r="L210" s="53"/>
      <x:c r="M210" s="53"/>
      <x:c r="N210" s="55"/>
      <x:c r="O210" s="20"/>
      <x:c r="P210" s="20"/>
      <x:c r="Q210" s="20"/>
      <x:c r="R210" s="20" t="str">
        <x:f>IF(C210="standard",J210,"")</x:f>
      </x:c>
      <x:c r="S210" s="20" t="str">
        <x:f>IF(C210="high_accuracy",J210,"")</x:f>
      </x:c>
    </x:row>
    <x:row r="211">
      <x:c r="A211" s="57"/>
      <x:c r="B211" s="20"/>
      <x:c r="C211" s="20"/>
      <x:c r="D211" s="59"/>
      <x:c r="E211" s="20"/>
      <x:c r="F211" s="20"/>
      <x:c r="G211" s="20"/>
      <x:c r="H211" s="59"/>
      <x:c r="I211" s="20"/>
      <x:c r="J211" s="53"/>
      <x:c r="K211" s="53"/>
      <x:c r="L211" s="53"/>
      <x:c r="M211" s="53"/>
      <x:c r="N211" s="55"/>
      <x:c r="O211" s="20"/>
      <x:c r="P211" s="20"/>
      <x:c r="Q211" s="20"/>
      <x:c r="R211" s="20" t="str">
        <x:f>IF(C211="standard",J211,"")</x:f>
      </x:c>
      <x:c r="S211" s="20" t="str">
        <x:f>IF(C211="high_accuracy",J211,"")</x:f>
      </x:c>
    </x:row>
    <x:row r="212">
      <x:c r="A212" s="57"/>
      <x:c r="B212" s="20"/>
      <x:c r="C212" s="20"/>
      <x:c r="D212" s="59"/>
      <x:c r="E212" s="20"/>
      <x:c r="F212" s="20"/>
      <x:c r="G212" s="20"/>
      <x:c r="H212" s="59"/>
      <x:c r="I212" s="20"/>
      <x:c r="J212" s="53"/>
      <x:c r="K212" s="53"/>
      <x:c r="L212" s="53"/>
      <x:c r="M212" s="53"/>
      <x:c r="N212" s="55"/>
      <x:c r="O212" s="20"/>
      <x:c r="P212" s="20"/>
      <x:c r="Q212" s="20"/>
      <x:c r="R212" s="20" t="str">
        <x:f>IF(C212="standard",J212,"")</x:f>
      </x:c>
      <x:c r="S212" s="20" t="str">
        <x:f>IF(C212="high_accuracy",J212,"")</x:f>
      </x:c>
    </x:row>
    <x:row r="213">
      <x:c r="A213" s="57"/>
      <x:c r="B213" s="20"/>
      <x:c r="C213" s="20"/>
      <x:c r="D213" s="59"/>
      <x:c r="E213" s="20"/>
      <x:c r="F213" s="20"/>
      <x:c r="G213" s="20"/>
      <x:c r="H213" s="59"/>
      <x:c r="I213" s="20"/>
      <x:c r="J213" s="53"/>
      <x:c r="K213" s="53"/>
      <x:c r="L213" s="53"/>
      <x:c r="M213" s="53"/>
      <x:c r="N213" s="55"/>
      <x:c r="O213" s="20"/>
      <x:c r="P213" s="20"/>
      <x:c r="Q213" s="20"/>
      <x:c r="R213" s="20" t="str">
        <x:f>IF(C213="standard",J213,"")</x:f>
      </x:c>
      <x:c r="S213" s="20" t="str">
        <x:f>IF(C213="high_accuracy",J213,"")</x:f>
      </x:c>
    </x:row>
    <x:row r="214">
      <x:c r="A214" s="57"/>
      <x:c r="B214" s="20"/>
      <x:c r="C214" s="20"/>
      <x:c r="D214" s="59"/>
      <x:c r="E214" s="20"/>
      <x:c r="F214" s="20"/>
      <x:c r="G214" s="20"/>
      <x:c r="H214" s="59"/>
      <x:c r="I214" s="20"/>
      <x:c r="J214" s="53"/>
      <x:c r="K214" s="53"/>
      <x:c r="L214" s="53"/>
      <x:c r="M214" s="53"/>
      <x:c r="N214" s="55"/>
      <x:c r="O214" s="20"/>
      <x:c r="P214" s="20"/>
      <x:c r="Q214" s="20"/>
      <x:c r="R214" s="20" t="str">
        <x:f>IF(C214="standard",J214,"")</x:f>
      </x:c>
      <x:c r="S214" s="20" t="str">
        <x:f>IF(C214="high_accuracy",J214,"")</x:f>
      </x:c>
    </x:row>
    <x:row r="215">
      <x:c r="A215" s="57"/>
      <x:c r="B215" s="20"/>
      <x:c r="C215" s="20"/>
      <x:c r="D215" s="59"/>
      <x:c r="E215" s="20"/>
      <x:c r="F215" s="20"/>
      <x:c r="G215" s="20"/>
      <x:c r="H215" s="59"/>
      <x:c r="I215" s="20"/>
      <x:c r="J215" s="53"/>
      <x:c r="K215" s="53"/>
      <x:c r="L215" s="53"/>
      <x:c r="M215" s="53"/>
      <x:c r="N215" s="55"/>
      <x:c r="O215" s="20"/>
      <x:c r="P215" s="20"/>
      <x:c r="Q215" s="20"/>
      <x:c r="R215" s="20" t="str">
        <x:f>IF(C215="standard",J215,"")</x:f>
      </x:c>
      <x:c r="S215" s="20" t="str">
        <x:f>IF(C215="high_accuracy",J215,"")</x:f>
      </x:c>
    </x:row>
    <x:row r="216">
      <x:c r="A216" s="57"/>
      <x:c r="B216" s="20"/>
      <x:c r="C216" s="20"/>
      <x:c r="D216" s="59"/>
      <x:c r="E216" s="20"/>
      <x:c r="F216" s="20"/>
      <x:c r="G216" s="20"/>
      <x:c r="H216" s="59"/>
      <x:c r="I216" s="20"/>
      <x:c r="J216" s="53"/>
      <x:c r="K216" s="53"/>
      <x:c r="L216" s="53"/>
      <x:c r="M216" s="53"/>
      <x:c r="N216" s="55"/>
      <x:c r="O216" s="20"/>
      <x:c r="P216" s="20"/>
      <x:c r="Q216" s="20"/>
      <x:c r="R216" s="20" t="str">
        <x:f>IF(C216="standard",J216,"")</x:f>
      </x:c>
      <x:c r="S216" s="20" t="str">
        <x:f>IF(C216="high_accuracy",J216,"")</x:f>
      </x:c>
    </x:row>
    <x:row r="217">
      <x:c r="A217" s="57"/>
      <x:c r="B217" s="20"/>
      <x:c r="C217" s="20"/>
      <x:c r="D217" s="59"/>
      <x:c r="E217" s="20"/>
      <x:c r="F217" s="20"/>
      <x:c r="G217" s="20"/>
      <x:c r="H217" s="59"/>
      <x:c r="I217" s="20"/>
      <x:c r="J217" s="53"/>
      <x:c r="K217" s="53"/>
      <x:c r="L217" s="53"/>
      <x:c r="M217" s="53"/>
      <x:c r="N217" s="55"/>
      <x:c r="O217" s="20"/>
      <x:c r="P217" s="20"/>
      <x:c r="Q217" s="20"/>
      <x:c r="R217" s="20" t="str">
        <x:f>IF(C217="standard",J217,"")</x:f>
      </x:c>
      <x:c r="S217" s="20" t="str">
        <x:f>IF(C217="high_accuracy",J217,"")</x:f>
      </x:c>
    </x:row>
    <x:row r="218">
      <x:c r="A218" s="57"/>
      <x:c r="B218" s="20"/>
      <x:c r="C218" s="20"/>
      <x:c r="D218" s="59"/>
      <x:c r="E218" s="20"/>
      <x:c r="F218" s="20"/>
      <x:c r="G218" s="20"/>
      <x:c r="H218" s="59"/>
      <x:c r="I218" s="20"/>
      <x:c r="J218" s="53"/>
      <x:c r="K218" s="53"/>
      <x:c r="L218" s="53"/>
      <x:c r="M218" s="53"/>
      <x:c r="N218" s="55"/>
      <x:c r="O218" s="20"/>
      <x:c r="P218" s="20"/>
      <x:c r="Q218" s="20"/>
      <x:c r="R218" s="20" t="str">
        <x:f>IF(C218="standard",J218,"")</x:f>
      </x:c>
      <x:c r="S218" s="20" t="str">
        <x:f>IF(C218="high_accuracy",J218,"")</x:f>
      </x:c>
    </x:row>
    <x:row r="219">
      <x:c r="A219" s="57"/>
      <x:c r="B219" s="20"/>
      <x:c r="C219" s="20"/>
      <x:c r="D219" s="59"/>
      <x:c r="E219" s="20"/>
      <x:c r="F219" s="20"/>
      <x:c r="G219" s="20"/>
      <x:c r="H219" s="59"/>
      <x:c r="I219" s="20"/>
      <x:c r="J219" s="53"/>
      <x:c r="K219" s="53"/>
      <x:c r="L219" s="53"/>
      <x:c r="M219" s="53"/>
      <x:c r="N219" s="55"/>
      <x:c r="O219" s="20"/>
      <x:c r="P219" s="20"/>
      <x:c r="Q219" s="20"/>
      <x:c r="R219" s="20" t="str">
        <x:f>IF(C219="standard",J219,"")</x:f>
      </x:c>
      <x:c r="S219" s="20" t="str">
        <x:f>IF(C219="high_accuracy",J219,"")</x:f>
      </x:c>
    </x:row>
    <x:row r="220">
      <x:c r="A220" s="57"/>
      <x:c r="B220" s="20"/>
      <x:c r="C220" s="20"/>
      <x:c r="D220" s="59"/>
      <x:c r="E220" s="20"/>
      <x:c r="F220" s="20"/>
      <x:c r="G220" s="20"/>
      <x:c r="H220" s="59"/>
      <x:c r="I220" s="20"/>
      <x:c r="J220" s="53"/>
      <x:c r="K220" s="53"/>
      <x:c r="L220" s="53"/>
      <x:c r="M220" s="53"/>
      <x:c r="N220" s="55"/>
      <x:c r="O220" s="20"/>
      <x:c r="P220" s="20"/>
      <x:c r="Q220" s="20"/>
      <x:c r="R220" s="20" t="str">
        <x:f>IF(C220="standard",J220,"")</x:f>
      </x:c>
      <x:c r="S220" s="20" t="str">
        <x:f>IF(C220="high_accuracy",J220,"")</x:f>
      </x:c>
    </x:row>
    <x:row r="221">
      <x:c r="A221" s="57"/>
      <x:c r="B221" s="20"/>
      <x:c r="C221" s="20"/>
      <x:c r="D221" s="59"/>
      <x:c r="E221" s="20"/>
      <x:c r="F221" s="20"/>
      <x:c r="G221" s="20"/>
      <x:c r="H221" s="59"/>
      <x:c r="I221" s="20"/>
      <x:c r="J221" s="53"/>
      <x:c r="K221" s="53"/>
      <x:c r="L221" s="53"/>
      <x:c r="M221" s="53"/>
      <x:c r="N221" s="55"/>
      <x:c r="O221" s="20"/>
      <x:c r="P221" s="20"/>
      <x:c r="Q221" s="20"/>
      <x:c r="R221" s="20" t="str">
        <x:f>IF(C221="standard",J221,"")</x:f>
      </x:c>
      <x:c r="S221" s="20" t="str">
        <x:f>IF(C221="high_accuracy",J221,"")</x:f>
      </x:c>
    </x:row>
    <x:row r="222">
      <x:c r="A222" s="57"/>
      <x:c r="B222" s="20"/>
      <x:c r="C222" s="20"/>
      <x:c r="D222" s="59"/>
      <x:c r="E222" s="20"/>
      <x:c r="F222" s="20"/>
      <x:c r="G222" s="20"/>
      <x:c r="H222" s="59"/>
      <x:c r="I222" s="20"/>
      <x:c r="J222" s="53"/>
      <x:c r="K222" s="53"/>
      <x:c r="L222" s="53"/>
      <x:c r="M222" s="53"/>
      <x:c r="N222" s="55"/>
      <x:c r="O222" s="20"/>
      <x:c r="P222" s="20"/>
      <x:c r="Q222" s="20"/>
      <x:c r="R222" s="20" t="str">
        <x:f>IF(C222="standard",J222,"")</x:f>
      </x:c>
      <x:c r="S222" s="20" t="str">
        <x:f>IF(C222="high_accuracy",J222,"")</x:f>
      </x:c>
    </x:row>
    <x:row r="223">
      <x:c r="A223" s="57"/>
      <x:c r="B223" s="20"/>
      <x:c r="C223" s="20"/>
      <x:c r="D223" s="59"/>
      <x:c r="E223" s="20"/>
      <x:c r="F223" s="20"/>
      <x:c r="G223" s="20"/>
      <x:c r="H223" s="59"/>
      <x:c r="I223" s="20"/>
      <x:c r="J223" s="53"/>
      <x:c r="K223" s="53"/>
      <x:c r="L223" s="53"/>
      <x:c r="M223" s="53"/>
      <x:c r="N223" s="55"/>
      <x:c r="O223" s="20"/>
      <x:c r="P223" s="20"/>
      <x:c r="Q223" s="20"/>
      <x:c r="R223" s="20" t="str">
        <x:f>IF(C223="standard",J223,"")</x:f>
      </x:c>
      <x:c r="S223" s="20" t="str">
        <x:f>IF(C223="high_accuracy",J223,"")</x:f>
      </x:c>
    </x:row>
    <x:row r="224">
      <x:c r="A224" s="57"/>
      <x:c r="B224" s="20"/>
      <x:c r="C224" s="20"/>
      <x:c r="D224" s="59"/>
      <x:c r="E224" s="20"/>
      <x:c r="F224" s="20"/>
      <x:c r="G224" s="20"/>
      <x:c r="H224" s="59"/>
      <x:c r="I224" s="20"/>
      <x:c r="J224" s="53"/>
      <x:c r="K224" s="53"/>
      <x:c r="L224" s="53"/>
      <x:c r="M224" s="53"/>
      <x:c r="N224" s="55"/>
      <x:c r="O224" s="20"/>
      <x:c r="P224" s="20"/>
      <x:c r="Q224" s="20"/>
      <x:c r="R224" s="20" t="str">
        <x:f>IF(C224="standard",J224,"")</x:f>
      </x:c>
      <x:c r="S224" s="20" t="str">
        <x:f>IF(C224="high_accuracy",J224,"")</x:f>
      </x:c>
    </x:row>
    <x:row r="225">
      <x:c r="A225" s="57"/>
      <x:c r="B225" s="20"/>
      <x:c r="C225" s="20"/>
      <x:c r="D225" s="59"/>
      <x:c r="E225" s="20"/>
      <x:c r="F225" s="20"/>
      <x:c r="G225" s="20"/>
      <x:c r="H225" s="59"/>
      <x:c r="I225" s="20"/>
      <x:c r="J225" s="53"/>
      <x:c r="K225" s="53"/>
      <x:c r="L225" s="53"/>
      <x:c r="M225" s="53"/>
      <x:c r="N225" s="55"/>
      <x:c r="O225" s="20"/>
      <x:c r="P225" s="20"/>
      <x:c r="Q225" s="20"/>
      <x:c r="R225" s="20" t="str">
        <x:f>IF(C225="standard",J225,"")</x:f>
      </x:c>
      <x:c r="S225" s="20" t="str">
        <x:f>IF(C225="high_accuracy",J225,"")</x:f>
      </x:c>
    </x:row>
    <x:row r="226">
      <x:c r="A226" s="57"/>
      <x:c r="B226" s="20"/>
      <x:c r="C226" s="20"/>
      <x:c r="D226" s="59"/>
      <x:c r="E226" s="20"/>
      <x:c r="F226" s="20"/>
      <x:c r="G226" s="20"/>
      <x:c r="H226" s="59"/>
      <x:c r="I226" s="20"/>
      <x:c r="J226" s="53"/>
      <x:c r="K226" s="53"/>
      <x:c r="L226" s="53"/>
      <x:c r="M226" s="53"/>
      <x:c r="N226" s="55"/>
      <x:c r="O226" s="20"/>
      <x:c r="P226" s="20"/>
      <x:c r="Q226" s="20"/>
      <x:c r="R226" s="20" t="str">
        <x:f>IF(C226="standard",J226,"")</x:f>
      </x:c>
      <x:c r="S226" s="20" t="str">
        <x:f>IF(C226="high_accuracy",J226,"")</x:f>
      </x:c>
    </x:row>
    <x:row r="227">
      <x:c r="A227" s="57"/>
      <x:c r="B227" s="20"/>
      <x:c r="C227" s="20"/>
      <x:c r="D227" s="59"/>
      <x:c r="E227" s="20"/>
      <x:c r="F227" s="20"/>
      <x:c r="G227" s="20"/>
      <x:c r="H227" s="59"/>
      <x:c r="I227" s="20"/>
      <x:c r="J227" s="53"/>
      <x:c r="K227" s="53"/>
      <x:c r="L227" s="53"/>
      <x:c r="M227" s="53"/>
      <x:c r="N227" s="55"/>
      <x:c r="O227" s="20"/>
      <x:c r="P227" s="20"/>
      <x:c r="Q227" s="20"/>
      <x:c r="R227" s="20" t="str">
        <x:f>IF(C227="standard",J227,"")</x:f>
      </x:c>
      <x:c r="S227" s="20" t="str">
        <x:f>IF(C227="high_accuracy",J227,"")</x:f>
      </x:c>
    </x:row>
    <x:row r="228">
      <x:c r="A228" s="57"/>
      <x:c r="B228" s="20"/>
      <x:c r="C228" s="20"/>
      <x:c r="D228" s="59"/>
      <x:c r="E228" s="20"/>
      <x:c r="F228" s="20"/>
      <x:c r="G228" s="20"/>
      <x:c r="H228" s="59"/>
      <x:c r="I228" s="20"/>
      <x:c r="J228" s="53"/>
      <x:c r="K228" s="53"/>
      <x:c r="L228" s="53"/>
      <x:c r="M228" s="53"/>
      <x:c r="N228" s="55"/>
      <x:c r="O228" s="20"/>
      <x:c r="P228" s="20"/>
      <x:c r="Q228" s="20"/>
      <x:c r="R228" s="20" t="str">
        <x:f>IF(C228="standard",J228,"")</x:f>
      </x:c>
      <x:c r="S228" s="20" t="str">
        <x:f>IF(C228="high_accuracy",J228,"")</x:f>
      </x:c>
    </x:row>
    <x:row r="229">
      <x:c r="A229" s="57"/>
      <x:c r="B229" s="20"/>
      <x:c r="C229" s="20"/>
      <x:c r="D229" s="59"/>
      <x:c r="E229" s="20"/>
      <x:c r="F229" s="20"/>
      <x:c r="G229" s="20"/>
      <x:c r="H229" s="59"/>
      <x:c r="I229" s="20"/>
      <x:c r="J229" s="53"/>
      <x:c r="K229" s="53"/>
      <x:c r="L229" s="53"/>
      <x:c r="M229" s="53"/>
      <x:c r="N229" s="55"/>
      <x:c r="O229" s="20"/>
      <x:c r="P229" s="20"/>
      <x:c r="Q229" s="20"/>
      <x:c r="R229" s="20" t="str">
        <x:f>IF(C229="standard",J229,"")</x:f>
      </x:c>
      <x:c r="S229" s="20" t="str">
        <x:f>IF(C229="high_accuracy",J229,"")</x:f>
      </x:c>
    </x:row>
    <x:row r="230">
      <x:c r="A230" s="57"/>
      <x:c r="B230" s="20"/>
      <x:c r="C230" s="20"/>
      <x:c r="D230" s="59"/>
      <x:c r="E230" s="20"/>
      <x:c r="F230" s="20"/>
      <x:c r="G230" s="20"/>
      <x:c r="H230" s="59"/>
      <x:c r="I230" s="20"/>
      <x:c r="J230" s="53"/>
      <x:c r="K230" s="53"/>
      <x:c r="L230" s="53"/>
      <x:c r="M230" s="53"/>
      <x:c r="N230" s="55"/>
      <x:c r="O230" s="20"/>
      <x:c r="P230" s="20"/>
      <x:c r="Q230" s="20"/>
      <x:c r="R230" s="20" t="str">
        <x:f>IF(C230="standard",J230,"")</x:f>
      </x:c>
      <x:c r="S230" s="20" t="str">
        <x:f>IF(C230="high_accuracy",J230,"")</x:f>
      </x:c>
    </x:row>
    <x:row r="231">
      <x:c r="A231" s="57"/>
      <x:c r="B231" s="20"/>
      <x:c r="C231" s="20"/>
      <x:c r="D231" s="59"/>
      <x:c r="E231" s="20"/>
      <x:c r="F231" s="20"/>
      <x:c r="G231" s="20"/>
      <x:c r="H231" s="59"/>
      <x:c r="I231" s="20"/>
      <x:c r="J231" s="53"/>
      <x:c r="K231" s="53"/>
      <x:c r="L231" s="53"/>
      <x:c r="M231" s="53"/>
      <x:c r="N231" s="55"/>
      <x:c r="O231" s="20"/>
      <x:c r="P231" s="20"/>
      <x:c r="Q231" s="20"/>
      <x:c r="R231" s="20" t="str">
        <x:f>IF(C231="standard",J231,"")</x:f>
      </x:c>
      <x:c r="S231" s="20" t="str">
        <x:f>IF(C231="high_accuracy",J231,"")</x:f>
      </x:c>
    </x:row>
    <x:row r="232">
      <x:c r="A232" s="57"/>
      <x:c r="B232" s="20"/>
      <x:c r="C232" s="20"/>
      <x:c r="D232" s="59"/>
      <x:c r="E232" s="20"/>
      <x:c r="F232" s="20"/>
      <x:c r="G232" s="20"/>
      <x:c r="H232" s="59"/>
      <x:c r="I232" s="20"/>
      <x:c r="J232" s="53"/>
      <x:c r="K232" s="53"/>
      <x:c r="L232" s="53"/>
      <x:c r="M232" s="53"/>
      <x:c r="N232" s="55"/>
      <x:c r="O232" s="20"/>
      <x:c r="P232" s="20"/>
      <x:c r="Q232" s="20"/>
      <x:c r="R232" s="20" t="str">
        <x:f>IF(C232="standard",J232,"")</x:f>
      </x:c>
      <x:c r="S232" s="20" t="str">
        <x:f>IF(C232="high_accuracy",J232,"")</x:f>
      </x:c>
    </x:row>
    <x:row r="233">
      <x:c r="A233" s="57"/>
      <x:c r="B233" s="20"/>
      <x:c r="C233" s="20"/>
      <x:c r="D233" s="59"/>
      <x:c r="E233" s="20"/>
      <x:c r="F233" s="20"/>
      <x:c r="G233" s="20"/>
      <x:c r="H233" s="59"/>
      <x:c r="I233" s="20"/>
      <x:c r="J233" s="53"/>
      <x:c r="K233" s="53"/>
      <x:c r="L233" s="53"/>
      <x:c r="M233" s="53"/>
      <x:c r="N233" s="55"/>
      <x:c r="O233" s="20"/>
      <x:c r="P233" s="20"/>
      <x:c r="Q233" s="20"/>
      <x:c r="R233" s="20" t="str">
        <x:f>IF(C233="standard",J233,"")</x:f>
      </x:c>
      <x:c r="S233" s="20" t="str">
        <x:f>IF(C233="high_accuracy",J233,"")</x:f>
      </x:c>
    </x:row>
    <x:row r="234">
      <x:c r="A234" s="57"/>
      <x:c r="B234" s="20"/>
      <x:c r="C234" s="20"/>
      <x:c r="D234" s="59"/>
      <x:c r="E234" s="20"/>
      <x:c r="F234" s="20"/>
      <x:c r="G234" s="20"/>
      <x:c r="H234" s="59"/>
      <x:c r="I234" s="20"/>
      <x:c r="J234" s="53"/>
      <x:c r="K234" s="53"/>
      <x:c r="L234" s="53"/>
      <x:c r="M234" s="53"/>
      <x:c r="N234" s="55"/>
      <x:c r="O234" s="20"/>
      <x:c r="P234" s="20"/>
      <x:c r="Q234" s="20"/>
      <x:c r="R234" s="20" t="str">
        <x:f>IF(C234="standard",J234,"")</x:f>
      </x:c>
      <x:c r="S234" s="20" t="str">
        <x:f>IF(C234="high_accuracy",J234,"")</x:f>
      </x:c>
    </x:row>
    <x:row r="235">
      <x:c r="A235" s="57"/>
      <x:c r="B235" s="20"/>
      <x:c r="C235" s="20"/>
      <x:c r="D235" s="59"/>
      <x:c r="E235" s="20"/>
      <x:c r="F235" s="20"/>
      <x:c r="G235" s="20"/>
      <x:c r="H235" s="59"/>
      <x:c r="I235" s="20"/>
      <x:c r="J235" s="53"/>
      <x:c r="K235" s="53"/>
      <x:c r="L235" s="53"/>
      <x:c r="M235" s="53"/>
      <x:c r="N235" s="55"/>
      <x:c r="O235" s="20"/>
      <x:c r="P235" s="20"/>
      <x:c r="Q235" s="20"/>
      <x:c r="R235" s="20" t="str">
        <x:f>IF(C235="standard",J235,"")</x:f>
      </x:c>
      <x:c r="S235" s="20" t="str">
        <x:f>IF(C235="high_accuracy",J235,"")</x:f>
      </x:c>
    </x:row>
    <x:row r="236">
      <x:c r="A236" s="57"/>
      <x:c r="B236" s="20"/>
      <x:c r="C236" s="20"/>
      <x:c r="D236" s="59"/>
      <x:c r="E236" s="20"/>
      <x:c r="F236" s="20"/>
      <x:c r="G236" s="20"/>
      <x:c r="H236" s="59"/>
      <x:c r="I236" s="20"/>
      <x:c r="J236" s="53"/>
      <x:c r="K236" s="53"/>
      <x:c r="L236" s="53"/>
      <x:c r="M236" s="53"/>
      <x:c r="N236" s="55"/>
      <x:c r="O236" s="20"/>
      <x:c r="P236" s="20"/>
      <x:c r="Q236" s="20"/>
      <x:c r="R236" s="20" t="str">
        <x:f>IF(C236="standard",J236,"")</x:f>
      </x:c>
      <x:c r="S236" s="20" t="str">
        <x:f>IF(C236="high_accuracy",J236,"")</x:f>
      </x:c>
    </x:row>
    <x:row r="237">
      <x:c r="A237" s="57"/>
      <x:c r="B237" s="20"/>
      <x:c r="C237" s="20"/>
      <x:c r="D237" s="59"/>
      <x:c r="E237" s="20"/>
      <x:c r="F237" s="20"/>
      <x:c r="G237" s="20"/>
      <x:c r="H237" s="59"/>
      <x:c r="I237" s="20"/>
      <x:c r="J237" s="53"/>
      <x:c r="K237" s="53"/>
      <x:c r="L237" s="53"/>
      <x:c r="M237" s="53"/>
      <x:c r="N237" s="55"/>
      <x:c r="O237" s="20"/>
      <x:c r="P237" s="20"/>
      <x:c r="Q237" s="20"/>
      <x:c r="R237" s="20" t="str">
        <x:f>IF(C237="standard",J237,"")</x:f>
      </x:c>
      <x:c r="S237" s="20" t="str">
        <x:f>IF(C237="high_accuracy",J237,"")</x:f>
      </x:c>
    </x:row>
    <x:row r="238">
      <x:c r="A238" s="57"/>
      <x:c r="B238" s="20"/>
      <x:c r="C238" s="20"/>
      <x:c r="D238" s="59"/>
      <x:c r="E238" s="20"/>
      <x:c r="F238" s="20"/>
      <x:c r="G238" s="20"/>
      <x:c r="H238" s="59"/>
      <x:c r="I238" s="20"/>
      <x:c r="J238" s="53"/>
      <x:c r="K238" s="53"/>
      <x:c r="L238" s="53"/>
      <x:c r="M238" s="53"/>
      <x:c r="N238" s="55"/>
      <x:c r="O238" s="20"/>
      <x:c r="P238" s="20"/>
      <x:c r="Q238" s="20"/>
      <x:c r="R238" s="20" t="str">
        <x:f>IF(C238="standard",J238,"")</x:f>
      </x:c>
      <x:c r="S238" s="20" t="str">
        <x:f>IF(C238="high_accuracy",J238,"")</x:f>
      </x:c>
    </x:row>
    <x:row r="239">
      <x:c r="A239" s="57"/>
      <x:c r="B239" s="20"/>
      <x:c r="C239" s="20"/>
      <x:c r="D239" s="59"/>
      <x:c r="E239" s="20"/>
      <x:c r="F239" s="20"/>
      <x:c r="G239" s="20"/>
      <x:c r="H239" s="59"/>
      <x:c r="I239" s="20"/>
      <x:c r="J239" s="53"/>
      <x:c r="K239" s="53"/>
      <x:c r="L239" s="53"/>
      <x:c r="M239" s="53"/>
      <x:c r="N239" s="55"/>
      <x:c r="O239" s="20"/>
      <x:c r="P239" s="20"/>
      <x:c r="Q239" s="20"/>
      <x:c r="R239" s="20" t="str">
        <x:f>IF(C239="standard",J239,"")</x:f>
      </x:c>
      <x:c r="S239" s="20" t="str">
        <x:f>IF(C239="high_accuracy",J239,"")</x:f>
      </x:c>
    </x:row>
    <x:row r="240">
      <x:c r="A240" s="57"/>
      <x:c r="B240" s="20"/>
      <x:c r="C240" s="20"/>
      <x:c r="D240" s="59"/>
      <x:c r="E240" s="20"/>
      <x:c r="F240" s="20"/>
      <x:c r="G240" s="20"/>
      <x:c r="H240" s="59"/>
      <x:c r="I240" s="20"/>
      <x:c r="J240" s="53"/>
      <x:c r="K240" s="53"/>
      <x:c r="L240" s="53"/>
      <x:c r="M240" s="53"/>
      <x:c r="N240" s="55"/>
      <x:c r="O240" s="20"/>
      <x:c r="P240" s="20"/>
      <x:c r="Q240" s="20"/>
      <x:c r="R240" s="20" t="str">
        <x:f>IF(C240="standard",J240,"")</x:f>
      </x:c>
      <x:c r="S240" s="20" t="str">
        <x:f>IF(C240="high_accuracy",J240,"")</x:f>
      </x:c>
    </x:row>
    <x:row r="241">
      <x:c r="A241" s="57"/>
      <x:c r="B241" s="20"/>
      <x:c r="C241" s="20"/>
      <x:c r="D241" s="59"/>
      <x:c r="E241" s="20"/>
      <x:c r="F241" s="20"/>
      <x:c r="G241" s="20"/>
      <x:c r="H241" s="59"/>
      <x:c r="I241" s="20"/>
      <x:c r="J241" s="53"/>
      <x:c r="K241" s="53"/>
      <x:c r="L241" s="53"/>
      <x:c r="M241" s="53"/>
      <x:c r="N241" s="55"/>
      <x:c r="O241" s="20"/>
      <x:c r="P241" s="20"/>
      <x:c r="Q241" s="20"/>
      <x:c r="R241" s="20" t="str">
        <x:f>IF(C241="standard",J241,"")</x:f>
      </x:c>
      <x:c r="S241" s="20" t="str">
        <x:f>IF(C241="high_accuracy",J241,"")</x:f>
      </x:c>
    </x:row>
    <x:row r="242">
      <x:c r="A242" s="57"/>
      <x:c r="B242" s="20"/>
      <x:c r="C242" s="20"/>
      <x:c r="D242" s="59"/>
      <x:c r="E242" s="20"/>
      <x:c r="F242" s="20"/>
      <x:c r="G242" s="20"/>
      <x:c r="H242" s="59"/>
      <x:c r="I242" s="20"/>
      <x:c r="J242" s="53"/>
      <x:c r="K242" s="53"/>
      <x:c r="L242" s="53"/>
      <x:c r="M242" s="53"/>
      <x:c r="N242" s="55"/>
      <x:c r="O242" s="20"/>
      <x:c r="P242" s="20"/>
      <x:c r="Q242" s="20"/>
      <x:c r="R242" s="20" t="str">
        <x:f>IF(C242="standard",J242,"")</x:f>
      </x:c>
      <x:c r="S242" s="20" t="str">
        <x:f>IF(C242="high_accuracy",J242,"")</x:f>
      </x:c>
    </x:row>
    <x:row r="243">
      <x:c r="A243" s="57"/>
      <x:c r="B243" s="20"/>
      <x:c r="C243" s="20"/>
      <x:c r="D243" s="59"/>
      <x:c r="E243" s="20"/>
      <x:c r="F243" s="20"/>
      <x:c r="G243" s="20"/>
      <x:c r="H243" s="59"/>
      <x:c r="I243" s="20"/>
      <x:c r="J243" s="53"/>
      <x:c r="K243" s="53"/>
      <x:c r="L243" s="53"/>
      <x:c r="M243" s="53"/>
      <x:c r="N243" s="55"/>
      <x:c r="O243" s="20"/>
      <x:c r="P243" s="20"/>
      <x:c r="Q243" s="20"/>
      <x:c r="R243" s="20" t="str">
        <x:f>IF(C243="standard",J243,"")</x:f>
      </x:c>
      <x:c r="S243" s="20" t="str">
        <x:f>IF(C243="high_accuracy",J243,"")</x:f>
      </x:c>
    </x:row>
    <x:row r="244">
      <x:c r="A244" s="57"/>
      <x:c r="B244" s="20"/>
      <x:c r="C244" s="20"/>
      <x:c r="D244" s="59"/>
      <x:c r="E244" s="20"/>
      <x:c r="F244" s="20"/>
      <x:c r="G244" s="20"/>
      <x:c r="H244" s="59"/>
      <x:c r="I244" s="20"/>
      <x:c r="J244" s="53"/>
      <x:c r="K244" s="53"/>
      <x:c r="L244" s="53"/>
      <x:c r="M244" s="53"/>
      <x:c r="N244" s="55"/>
      <x:c r="O244" s="20"/>
      <x:c r="P244" s="20"/>
      <x:c r="Q244" s="20"/>
      <x:c r="R244" s="20" t="str">
        <x:f>IF(C244="standard",J244,"")</x:f>
      </x:c>
      <x:c r="S244" s="20" t="str">
        <x:f>IF(C244="high_accuracy",J244,"")</x:f>
      </x:c>
    </x:row>
    <x:row r="245">
      <x:c r="A245" s="57"/>
      <x:c r="B245" s="20"/>
      <x:c r="C245" s="20"/>
      <x:c r="D245" s="59"/>
      <x:c r="E245" s="20"/>
      <x:c r="F245" s="20"/>
      <x:c r="G245" s="20"/>
      <x:c r="H245" s="59"/>
      <x:c r="I245" s="20"/>
      <x:c r="J245" s="53"/>
      <x:c r="K245" s="53"/>
      <x:c r="L245" s="53"/>
      <x:c r="M245" s="53"/>
      <x:c r="N245" s="55"/>
      <x:c r="O245" s="20"/>
      <x:c r="P245" s="20"/>
      <x:c r="Q245" s="20"/>
      <x:c r="R245" s="20" t="str">
        <x:f>IF(C245="standard",J245,"")</x:f>
      </x:c>
      <x:c r="S245" s="20" t="str">
        <x:f>IF(C245="high_accuracy",J245,"")</x:f>
      </x:c>
    </x:row>
    <x:row r="246">
      <x:c r="A246" s="57"/>
      <x:c r="B246" s="20"/>
      <x:c r="C246" s="20"/>
      <x:c r="D246" s="59"/>
      <x:c r="E246" s="20"/>
      <x:c r="F246" s="20"/>
      <x:c r="G246" s="20"/>
      <x:c r="H246" s="59"/>
      <x:c r="I246" s="20"/>
      <x:c r="J246" s="53"/>
      <x:c r="K246" s="53"/>
      <x:c r="L246" s="53"/>
      <x:c r="M246" s="53"/>
      <x:c r="N246" s="55"/>
      <x:c r="O246" s="20"/>
      <x:c r="P246" s="20"/>
      <x:c r="Q246" s="20"/>
      <x:c r="R246" s="20" t="str">
        <x:f>IF(C246="standard",J246,"")</x:f>
      </x:c>
      <x:c r="S246" s="20" t="str">
        <x:f>IF(C246="high_accuracy",J246,"")</x:f>
      </x:c>
    </x:row>
    <x:row r="247">
      <x:c r="A247" s="57"/>
      <x:c r="B247" s="20"/>
      <x:c r="C247" s="20"/>
      <x:c r="D247" s="59"/>
      <x:c r="E247" s="20"/>
      <x:c r="F247" s="20"/>
      <x:c r="G247" s="20"/>
      <x:c r="H247" s="59"/>
      <x:c r="I247" s="20"/>
      <x:c r="J247" s="53"/>
      <x:c r="K247" s="53"/>
      <x:c r="L247" s="53"/>
      <x:c r="M247" s="53"/>
      <x:c r="N247" s="55"/>
      <x:c r="O247" s="20"/>
      <x:c r="P247" s="20"/>
      <x:c r="Q247" s="20"/>
      <x:c r="R247" s="20" t="str">
        <x:f>IF(C247="standard",J247,"")</x:f>
      </x:c>
      <x:c r="S247" s="20" t="str">
        <x:f>IF(C247="high_accuracy",J247,"")</x:f>
      </x:c>
    </x:row>
    <x:row r="248">
      <x:c r="A248" s="57"/>
      <x:c r="B248" s="20"/>
      <x:c r="C248" s="20"/>
      <x:c r="D248" s="59"/>
      <x:c r="E248" s="20"/>
      <x:c r="F248" s="20"/>
      <x:c r="G248" s="20"/>
      <x:c r="H248" s="59"/>
      <x:c r="I248" s="20"/>
      <x:c r="J248" s="53"/>
      <x:c r="K248" s="53"/>
      <x:c r="L248" s="53"/>
      <x:c r="M248" s="53"/>
      <x:c r="N248" s="55"/>
      <x:c r="O248" s="20"/>
      <x:c r="P248" s="20"/>
      <x:c r="Q248" s="20"/>
      <x:c r="R248" s="20" t="str">
        <x:f>IF(C248="standard",J248,"")</x:f>
      </x:c>
      <x:c r="S248" s="20" t="str">
        <x:f>IF(C248="high_accuracy",J248,"")</x:f>
      </x:c>
    </x:row>
    <x:row r="249">
      <x:c r="A249" s="57"/>
      <x:c r="B249" s="20"/>
      <x:c r="C249" s="20"/>
      <x:c r="D249" s="59"/>
      <x:c r="E249" s="20"/>
      <x:c r="F249" s="20"/>
      <x:c r="G249" s="20"/>
      <x:c r="H249" s="59"/>
      <x:c r="I249" s="20"/>
      <x:c r="J249" s="53"/>
      <x:c r="K249" s="53"/>
      <x:c r="L249" s="53"/>
      <x:c r="M249" s="53"/>
      <x:c r="N249" s="55"/>
      <x:c r="O249" s="20"/>
      <x:c r="P249" s="20"/>
      <x:c r="Q249" s="20"/>
      <x:c r="R249" s="20" t="str">
        <x:f>IF(C249="standard",J249,"")</x:f>
      </x:c>
      <x:c r="S249" s="20" t="str">
        <x:f>IF(C249="high_accuracy",J249,"")</x:f>
      </x:c>
    </x:row>
    <x:row r="250">
      <x:c r="A250" s="57"/>
      <x:c r="B250" s="20"/>
      <x:c r="C250" s="20"/>
      <x:c r="D250" s="59"/>
      <x:c r="E250" s="20"/>
      <x:c r="F250" s="20"/>
      <x:c r="G250" s="20"/>
      <x:c r="H250" s="59"/>
      <x:c r="I250" s="20"/>
      <x:c r="J250" s="53"/>
      <x:c r="K250" s="53"/>
      <x:c r="L250" s="53"/>
      <x:c r="M250" s="53"/>
      <x:c r="N250" s="55"/>
      <x:c r="O250" s="20"/>
      <x:c r="P250" s="20"/>
      <x:c r="Q250" s="20"/>
      <x:c r="R250" s="20" t="str">
        <x:f>IF(C250="standard",J250,"")</x:f>
      </x:c>
      <x:c r="S250" s="20" t="str">
        <x:f>IF(C250="high_accuracy",J250,"")</x:f>
      </x:c>
    </x:row>
    <x:row r="251">
      <x:c r="A251" s="57"/>
      <x:c r="B251" s="20"/>
      <x:c r="C251" s="20"/>
      <x:c r="D251" s="59"/>
      <x:c r="E251" s="20"/>
      <x:c r="F251" s="20"/>
      <x:c r="G251" s="20"/>
      <x:c r="H251" s="59"/>
      <x:c r="I251" s="20"/>
      <x:c r="J251" s="53"/>
      <x:c r="K251" s="53"/>
      <x:c r="L251" s="53"/>
      <x:c r="M251" s="53"/>
      <x:c r="N251" s="55"/>
      <x:c r="O251" s="20"/>
      <x:c r="P251" s="20"/>
      <x:c r="Q251" s="20"/>
      <x:c r="R251" s="20" t="str">
        <x:f>IF(C251="standard",J251,"")</x:f>
      </x:c>
      <x:c r="S251" s="20" t="str">
        <x:f>IF(C251="high_accuracy",J251,"")</x:f>
      </x:c>
    </x:row>
    <x:row r="252">
      <x:c r="A252" s="57"/>
      <x:c r="B252" s="20"/>
      <x:c r="C252" s="20"/>
      <x:c r="D252" s="59"/>
      <x:c r="E252" s="20"/>
      <x:c r="F252" s="20"/>
      <x:c r="G252" s="20"/>
      <x:c r="H252" s="59"/>
      <x:c r="I252" s="20"/>
      <x:c r="J252" s="53"/>
      <x:c r="K252" s="53"/>
      <x:c r="L252" s="53"/>
      <x:c r="M252" s="53"/>
      <x:c r="N252" s="55"/>
      <x:c r="O252" s="20"/>
      <x:c r="P252" s="20"/>
      <x:c r="Q252" s="20"/>
      <x:c r="R252" s="20" t="str">
        <x:f>IF(C252="standard",J252,"")</x:f>
      </x:c>
      <x:c r="S252" s="20" t="str">
        <x:f>IF(C252="high_accuracy",J252,"")</x:f>
      </x:c>
    </x:row>
    <x:row r="253">
      <x:c r="A253" s="57"/>
      <x:c r="B253" s="20"/>
      <x:c r="C253" s="20"/>
      <x:c r="D253" s="59"/>
      <x:c r="E253" s="20"/>
      <x:c r="F253" s="20"/>
      <x:c r="G253" s="20"/>
      <x:c r="H253" s="59"/>
      <x:c r="I253" s="20"/>
      <x:c r="J253" s="53"/>
      <x:c r="K253" s="53"/>
      <x:c r="L253" s="53"/>
      <x:c r="M253" s="53"/>
      <x:c r="N253" s="55"/>
      <x:c r="O253" s="20"/>
      <x:c r="P253" s="20"/>
      <x:c r="Q253" s="20"/>
      <x:c r="R253" s="20" t="str">
        <x:f>IF(C253="standard",J253,"")</x:f>
      </x:c>
      <x:c r="S253" s="20" t="str">
        <x:f>IF(C253="high_accuracy",J253,"")</x:f>
      </x:c>
    </x:row>
    <x:row r="254">
      <x:c r="A254" s="57"/>
      <x:c r="B254" s="20"/>
      <x:c r="C254" s="20"/>
      <x:c r="D254" s="59"/>
      <x:c r="E254" s="20"/>
      <x:c r="F254" s="20"/>
      <x:c r="G254" s="20"/>
      <x:c r="H254" s="59"/>
      <x:c r="I254" s="20"/>
      <x:c r="J254" s="53"/>
      <x:c r="K254" s="53"/>
      <x:c r="L254" s="53"/>
      <x:c r="M254" s="53"/>
      <x:c r="N254" s="55"/>
      <x:c r="O254" s="20"/>
      <x:c r="P254" s="20"/>
      <x:c r="Q254" s="20"/>
      <x:c r="R254" s="20" t="str">
        <x:f>IF(C254="standard",J254,"")</x:f>
      </x:c>
      <x:c r="S254" s="20" t="str">
        <x:f>IF(C254="high_accuracy",J254,"")</x:f>
      </x:c>
    </x:row>
    <x:row r="255">
      <x:c r="A255" s="57"/>
      <x:c r="B255" s="20"/>
      <x:c r="C255" s="20"/>
      <x:c r="D255" s="59"/>
      <x:c r="E255" s="20"/>
      <x:c r="F255" s="20"/>
      <x:c r="G255" s="20"/>
      <x:c r="H255" s="59"/>
      <x:c r="I255" s="20"/>
      <x:c r="J255" s="53"/>
      <x:c r="K255" s="53"/>
      <x:c r="L255" s="53"/>
      <x:c r="M255" s="53"/>
      <x:c r="N255" s="55"/>
      <x:c r="O255" s="20"/>
      <x:c r="P255" s="20"/>
      <x:c r="Q255" s="20"/>
      <x:c r="R255" s="20" t="str">
        <x:f>IF(C255="standard",J255,"")</x:f>
      </x:c>
      <x:c r="S255" s="20" t="str">
        <x:f>IF(C255="high_accuracy",J255,"")</x:f>
      </x:c>
    </x:row>
    <x:row r="256">
      <x:c r="A256" s="57"/>
      <x:c r="B256" s="20"/>
      <x:c r="C256" s="20"/>
      <x:c r="D256" s="59"/>
      <x:c r="E256" s="20"/>
      <x:c r="F256" s="20"/>
      <x:c r="G256" s="20"/>
      <x:c r="H256" s="59"/>
      <x:c r="I256" s="20"/>
      <x:c r="J256" s="53"/>
      <x:c r="K256" s="53"/>
      <x:c r="L256" s="53"/>
      <x:c r="M256" s="53"/>
      <x:c r="N256" s="55"/>
      <x:c r="O256" s="20"/>
      <x:c r="P256" s="20"/>
      <x:c r="Q256" s="20"/>
      <x:c r="R256" s="20" t="str">
        <x:f>IF(C256="standard",J256,"")</x:f>
      </x:c>
      <x:c r="S256" s="20" t="str">
        <x:f>IF(C256="high_accuracy",J256,"")</x:f>
      </x:c>
    </x:row>
    <x:row r="257">
      <x:c r="A257" s="57"/>
      <x:c r="B257" s="20"/>
      <x:c r="C257" s="20"/>
      <x:c r="D257" s="59"/>
      <x:c r="E257" s="20"/>
      <x:c r="F257" s="20"/>
      <x:c r="G257" s="20"/>
      <x:c r="H257" s="59"/>
      <x:c r="I257" s="20"/>
      <x:c r="J257" s="53"/>
      <x:c r="K257" s="53"/>
      <x:c r="L257" s="53"/>
      <x:c r="M257" s="53"/>
      <x:c r="N257" s="55"/>
      <x:c r="O257" s="20"/>
      <x:c r="P257" s="20"/>
      <x:c r="Q257" s="20"/>
      <x:c r="R257" s="20" t="str">
        <x:f>IF(C257="standard",J257,"")</x:f>
      </x:c>
      <x:c r="S257" s="20" t="str">
        <x:f>IF(C257="high_accuracy",J257,"")</x:f>
      </x:c>
    </x:row>
    <x:row r="258">
      <x:c r="A258" s="57"/>
      <x:c r="B258" s="20"/>
      <x:c r="C258" s="20"/>
      <x:c r="D258" s="59"/>
      <x:c r="E258" s="20"/>
      <x:c r="F258" s="20"/>
      <x:c r="G258" s="20"/>
      <x:c r="H258" s="59"/>
      <x:c r="I258" s="20"/>
      <x:c r="J258" s="53"/>
      <x:c r="K258" s="53"/>
      <x:c r="L258" s="53"/>
      <x:c r="M258" s="53"/>
      <x:c r="N258" s="55"/>
      <x:c r="O258" s="20"/>
      <x:c r="P258" s="20"/>
      <x:c r="Q258" s="20"/>
      <x:c r="R258" s="20" t="str">
        <x:f>IF(C258="standard",J258,"")</x:f>
      </x:c>
      <x:c r="S258" s="20" t="str">
        <x:f>IF(C258="high_accuracy",J258,"")</x:f>
      </x:c>
    </x:row>
    <x:row r="259">
      <x:c r="A259" s="57"/>
      <x:c r="B259" s="20"/>
      <x:c r="C259" s="20"/>
      <x:c r="D259" s="59"/>
      <x:c r="E259" s="20"/>
      <x:c r="F259" s="20"/>
      <x:c r="G259" s="20"/>
      <x:c r="H259" s="59"/>
      <x:c r="I259" s="20"/>
      <x:c r="J259" s="53"/>
      <x:c r="K259" s="53"/>
      <x:c r="L259" s="53"/>
      <x:c r="M259" s="53"/>
      <x:c r="N259" s="55"/>
      <x:c r="O259" s="20"/>
      <x:c r="P259" s="20"/>
      <x:c r="Q259" s="20"/>
      <x:c r="R259" s="20" t="str">
        <x:f>IF(C259="standard",J259,"")</x:f>
      </x:c>
      <x:c r="S259" s="20" t="str">
        <x:f>IF(C259="high_accuracy",J259,"")</x:f>
      </x:c>
    </x:row>
    <x:row r="260">
      <x:c r="A260" s="57"/>
      <x:c r="B260" s="20"/>
      <x:c r="C260" s="20"/>
      <x:c r="D260" s="59"/>
      <x:c r="E260" s="20"/>
      <x:c r="F260" s="20"/>
      <x:c r="G260" s="20"/>
      <x:c r="H260" s="59"/>
      <x:c r="I260" s="20"/>
      <x:c r="J260" s="53"/>
      <x:c r="K260" s="53"/>
      <x:c r="L260" s="53"/>
      <x:c r="M260" s="53"/>
      <x:c r="N260" s="55"/>
      <x:c r="O260" s="20"/>
      <x:c r="P260" s="20"/>
      <x:c r="Q260" s="20"/>
      <x:c r="R260" s="20" t="str">
        <x:f>IF(C260="standard",J260,"")</x:f>
      </x:c>
      <x:c r="S260" s="20" t="str">
        <x:f>IF(C260="high_accuracy",J260,"")</x:f>
      </x:c>
    </x:row>
    <x:row r="261">
      <x:c r="A261" s="57"/>
      <x:c r="B261" s="20"/>
      <x:c r="C261" s="20"/>
      <x:c r="D261" s="59"/>
      <x:c r="E261" s="20"/>
      <x:c r="F261" s="20"/>
      <x:c r="G261" s="20"/>
      <x:c r="H261" s="59"/>
      <x:c r="I261" s="20"/>
      <x:c r="J261" s="53"/>
      <x:c r="K261" s="53"/>
      <x:c r="L261" s="53"/>
      <x:c r="M261" s="53"/>
      <x:c r="N261" s="55"/>
      <x:c r="O261" s="20"/>
      <x:c r="P261" s="20"/>
      <x:c r="Q261" s="20"/>
      <x:c r="R261" s="20" t="str">
        <x:f>IF(C261="standard",J261,"")</x:f>
      </x:c>
      <x:c r="S261" s="20" t="str">
        <x:f>IF(C261="high_accuracy",J261,"")</x:f>
      </x:c>
    </x:row>
    <x:row r="262">
      <x:c r="A262" s="57"/>
      <x:c r="B262" s="20"/>
      <x:c r="C262" s="20"/>
      <x:c r="D262" s="59"/>
      <x:c r="E262" s="20"/>
      <x:c r="F262" s="20"/>
      <x:c r="G262" s="20"/>
      <x:c r="H262" s="59"/>
      <x:c r="I262" s="20"/>
      <x:c r="J262" s="53"/>
      <x:c r="K262" s="53"/>
      <x:c r="L262" s="53"/>
      <x:c r="M262" s="53"/>
      <x:c r="N262" s="55"/>
      <x:c r="O262" s="20"/>
      <x:c r="P262" s="20"/>
      <x:c r="Q262" s="20"/>
      <x:c r="R262" s="20" t="str">
        <x:f>IF(C262="standard",J262,"")</x:f>
      </x:c>
      <x:c r="S262" s="20" t="str">
        <x:f>IF(C262="high_accuracy",J262,"")</x:f>
      </x:c>
    </x:row>
    <x:row r="263">
      <x:c r="A263" s="57"/>
      <x:c r="B263" s="20"/>
      <x:c r="C263" s="20"/>
      <x:c r="D263" s="59"/>
      <x:c r="E263" s="20"/>
      <x:c r="F263" s="20"/>
      <x:c r="G263" s="20"/>
      <x:c r="H263" s="59"/>
      <x:c r="I263" s="20"/>
      <x:c r="J263" s="53"/>
      <x:c r="K263" s="53"/>
      <x:c r="L263" s="53"/>
      <x:c r="M263" s="53"/>
      <x:c r="N263" s="55"/>
      <x:c r="O263" s="20"/>
      <x:c r="P263" s="20"/>
      <x:c r="Q263" s="20"/>
      <x:c r="R263" s="20" t="str">
        <x:f>IF(C263="standard",J263,"")</x:f>
      </x:c>
      <x:c r="S263" s="20" t="str">
        <x:f>IF(C263="high_accuracy",J263,"")</x:f>
      </x:c>
    </x:row>
    <x:row r="264">
      <x:c r="A264" s="57"/>
      <x:c r="B264" s="20"/>
      <x:c r="C264" s="20"/>
      <x:c r="D264" s="59"/>
      <x:c r="E264" s="20"/>
      <x:c r="F264" s="20"/>
      <x:c r="G264" s="20"/>
      <x:c r="H264" s="59"/>
      <x:c r="I264" s="20"/>
      <x:c r="J264" s="53"/>
      <x:c r="K264" s="53"/>
      <x:c r="L264" s="53"/>
      <x:c r="M264" s="53"/>
      <x:c r="N264" s="55"/>
      <x:c r="O264" s="20"/>
      <x:c r="P264" s="20"/>
      <x:c r="Q264" s="20"/>
      <x:c r="R264" s="20" t="str">
        <x:f>IF(C264="standard",J264,"")</x:f>
      </x:c>
      <x:c r="S264" s="20" t="str">
        <x:f>IF(C264="high_accuracy",J264,"")</x:f>
      </x:c>
    </x:row>
    <x:row r="265">
      <x:c r="A265" s="57"/>
      <x:c r="B265" s="20"/>
      <x:c r="C265" s="20"/>
      <x:c r="D265" s="59"/>
      <x:c r="E265" s="20"/>
      <x:c r="F265" s="20"/>
      <x:c r="G265" s="20"/>
      <x:c r="H265" s="59"/>
      <x:c r="I265" s="20"/>
      <x:c r="J265" s="53"/>
      <x:c r="K265" s="53"/>
      <x:c r="L265" s="53"/>
      <x:c r="M265" s="53"/>
      <x:c r="N265" s="55"/>
      <x:c r="O265" s="20"/>
      <x:c r="P265" s="20"/>
      <x:c r="Q265" s="20"/>
      <x:c r="R265" s="20" t="str">
        <x:f>IF(C265="standard",J265,"")</x:f>
      </x:c>
      <x:c r="S265" s="20" t="str">
        <x:f>IF(C265="high_accuracy",J265,"")</x:f>
      </x:c>
    </x:row>
    <x:row r="266">
      <x:c r="A266" s="57"/>
      <x:c r="B266" s="20"/>
      <x:c r="C266" s="20"/>
      <x:c r="D266" s="59"/>
      <x:c r="E266" s="20"/>
      <x:c r="F266" s="20"/>
      <x:c r="G266" s="20"/>
      <x:c r="H266" s="59"/>
      <x:c r="I266" s="20"/>
      <x:c r="J266" s="53"/>
      <x:c r="K266" s="53"/>
      <x:c r="L266" s="53"/>
      <x:c r="M266" s="53"/>
      <x:c r="N266" s="55"/>
      <x:c r="O266" s="20"/>
      <x:c r="P266" s="20"/>
      <x:c r="Q266" s="20"/>
      <x:c r="R266" s="20" t="str">
        <x:f>IF(C266="standard",J266,"")</x:f>
      </x:c>
      <x:c r="S266" s="20" t="str">
        <x:f>IF(C266="high_accuracy",J266,"")</x:f>
      </x:c>
    </x:row>
    <x:row r="267">
      <x:c r="A267" s="57"/>
      <x:c r="B267" s="20"/>
      <x:c r="C267" s="20"/>
      <x:c r="D267" s="59"/>
      <x:c r="E267" s="20"/>
      <x:c r="F267" s="20"/>
      <x:c r="G267" s="20"/>
      <x:c r="H267" s="59"/>
      <x:c r="I267" s="20"/>
      <x:c r="J267" s="53"/>
      <x:c r="K267" s="53"/>
      <x:c r="L267" s="53"/>
      <x:c r="M267" s="53"/>
      <x:c r="N267" s="55"/>
      <x:c r="O267" s="20"/>
      <x:c r="P267" s="20"/>
      <x:c r="Q267" s="20"/>
      <x:c r="R267" s="20" t="str">
        <x:f>IF(C267="standard",J267,"")</x:f>
      </x:c>
      <x:c r="S267" s="20" t="str">
        <x:f>IF(C267="high_accuracy",J267,"")</x:f>
      </x:c>
    </x:row>
    <x:row r="268">
      <x:c r="A268" s="57"/>
      <x:c r="B268" s="20"/>
      <x:c r="C268" s="20"/>
      <x:c r="D268" s="59"/>
      <x:c r="E268" s="20"/>
      <x:c r="F268" s="20"/>
      <x:c r="G268" s="20"/>
      <x:c r="H268" s="59"/>
      <x:c r="I268" s="20"/>
      <x:c r="J268" s="53"/>
      <x:c r="K268" s="53"/>
      <x:c r="L268" s="53"/>
      <x:c r="M268" s="53"/>
      <x:c r="N268" s="55"/>
      <x:c r="O268" s="20"/>
      <x:c r="P268" s="20"/>
      <x:c r="Q268" s="20"/>
      <x:c r="R268" s="20" t="str">
        <x:f>IF(C268="standard",J268,"")</x:f>
      </x:c>
      <x:c r="S268" s="20" t="str">
        <x:f>IF(C268="high_accuracy",J268,"")</x:f>
      </x:c>
    </x:row>
    <x:row r="269">
      <x:c r="A269" s="57"/>
      <x:c r="B269" s="20"/>
      <x:c r="C269" s="20"/>
      <x:c r="D269" s="59"/>
      <x:c r="E269" s="20"/>
      <x:c r="F269" s="20"/>
      <x:c r="G269" s="20"/>
      <x:c r="H269" s="59"/>
      <x:c r="I269" s="20"/>
      <x:c r="J269" s="53"/>
      <x:c r="K269" s="53"/>
      <x:c r="L269" s="53"/>
      <x:c r="M269" s="53"/>
      <x:c r="N269" s="55"/>
      <x:c r="O269" s="20"/>
      <x:c r="P269" s="20"/>
      <x:c r="Q269" s="20"/>
      <x:c r="R269" s="20" t="str">
        <x:f>IF(C269="standard",J269,"")</x:f>
      </x:c>
      <x:c r="S269" s="20" t="str">
        <x:f>IF(C269="high_accuracy",J269,"")</x:f>
      </x:c>
    </x:row>
    <x:row r="270">
      <x:c r="A270" s="57"/>
      <x:c r="B270" s="20"/>
      <x:c r="C270" s="20"/>
      <x:c r="D270" s="59"/>
      <x:c r="E270" s="20"/>
      <x:c r="F270" s="20"/>
      <x:c r="G270" s="20"/>
      <x:c r="H270" s="59"/>
      <x:c r="I270" s="20"/>
      <x:c r="J270" s="53"/>
      <x:c r="K270" s="53"/>
      <x:c r="L270" s="53"/>
      <x:c r="M270" s="53"/>
      <x:c r="N270" s="55"/>
      <x:c r="O270" s="20"/>
      <x:c r="P270" s="20"/>
      <x:c r="Q270" s="20"/>
      <x:c r="R270" s="20" t="str">
        <x:f>IF(C270="standard",J270,"")</x:f>
      </x:c>
      <x:c r="S270" s="20" t="str">
        <x:f>IF(C270="high_accuracy",J270,"")</x:f>
      </x:c>
    </x:row>
    <x:row r="271">
      <x:c r="A271" s="57"/>
      <x:c r="B271" s="20"/>
      <x:c r="C271" s="20"/>
      <x:c r="D271" s="59"/>
      <x:c r="E271" s="20"/>
      <x:c r="F271" s="20"/>
      <x:c r="G271" s="20"/>
      <x:c r="H271" s="59"/>
      <x:c r="I271" s="20"/>
      <x:c r="J271" s="53"/>
      <x:c r="K271" s="53"/>
      <x:c r="L271" s="53"/>
      <x:c r="M271" s="53"/>
      <x:c r="N271" s="55"/>
      <x:c r="O271" s="20"/>
      <x:c r="P271" s="20"/>
      <x:c r="Q271" s="20"/>
      <x:c r="R271" s="20" t="str">
        <x:f>IF(C271="standard",J271,"")</x:f>
      </x:c>
      <x:c r="S271" s="20" t="str">
        <x:f>IF(C271="high_accuracy",J271,"")</x:f>
      </x:c>
    </x:row>
    <x:row r="272">
      <x:c r="A272" s="57"/>
      <x:c r="B272" s="20"/>
      <x:c r="C272" s="20"/>
      <x:c r="D272" s="59"/>
      <x:c r="E272" s="20"/>
      <x:c r="F272" s="20"/>
      <x:c r="G272" s="20"/>
      <x:c r="H272" s="59"/>
      <x:c r="I272" s="20"/>
      <x:c r="J272" s="53"/>
      <x:c r="K272" s="53"/>
      <x:c r="L272" s="53"/>
      <x:c r="M272" s="53"/>
      <x:c r="N272" s="55"/>
      <x:c r="O272" s="20"/>
      <x:c r="P272" s="20"/>
      <x:c r="Q272" s="20"/>
      <x:c r="R272" s="20" t="str">
        <x:f>IF(C272="standard",J272,"")</x:f>
      </x:c>
      <x:c r="S272" s="20" t="str">
        <x:f>IF(C272="high_accuracy",J272,"")</x:f>
      </x:c>
    </x:row>
    <x:row r="273">
      <x:c r="A273" s="57"/>
      <x:c r="B273" s="20"/>
      <x:c r="C273" s="20"/>
      <x:c r="D273" s="59"/>
      <x:c r="E273" s="20"/>
      <x:c r="F273" s="20"/>
      <x:c r="G273" s="20"/>
      <x:c r="H273" s="59"/>
      <x:c r="I273" s="20"/>
      <x:c r="J273" s="53"/>
      <x:c r="K273" s="53"/>
      <x:c r="L273" s="53"/>
      <x:c r="M273" s="53"/>
      <x:c r="N273" s="55"/>
      <x:c r="O273" s="20"/>
      <x:c r="P273" s="20"/>
      <x:c r="Q273" s="20"/>
      <x:c r="R273" s="20" t="str">
        <x:f>IF(C273="standard",J273,"")</x:f>
      </x:c>
      <x:c r="S273" s="20" t="str">
        <x:f>IF(C273="high_accuracy",J273,"")</x:f>
      </x:c>
    </x:row>
    <x:row r="274">
      <x:c r="A274" s="57"/>
      <x:c r="B274" s="20"/>
      <x:c r="C274" s="20"/>
      <x:c r="D274" s="59"/>
      <x:c r="E274" s="20"/>
      <x:c r="F274" s="20"/>
      <x:c r="G274" s="20"/>
      <x:c r="H274" s="59"/>
      <x:c r="I274" s="20"/>
      <x:c r="J274" s="53"/>
      <x:c r="K274" s="53"/>
      <x:c r="L274" s="53"/>
      <x:c r="M274" s="53"/>
      <x:c r="N274" s="55"/>
      <x:c r="O274" s="20"/>
      <x:c r="P274" s="20"/>
      <x:c r="Q274" s="20"/>
      <x:c r="R274" s="20" t="str">
        <x:f>IF(C274="standard",J274,"")</x:f>
      </x:c>
      <x:c r="S274" s="20" t="str">
        <x:f>IF(C274="high_accuracy",J274,"")</x:f>
      </x:c>
    </x:row>
    <x:row r="275">
      <x:c r="A275" s="57"/>
      <x:c r="B275" s="20"/>
      <x:c r="C275" s="20"/>
      <x:c r="D275" s="59"/>
      <x:c r="E275" s="20"/>
      <x:c r="F275" s="20"/>
      <x:c r="G275" s="20"/>
      <x:c r="H275" s="59"/>
      <x:c r="I275" s="20"/>
      <x:c r="J275" s="53"/>
      <x:c r="K275" s="53"/>
      <x:c r="L275" s="53"/>
      <x:c r="M275" s="53"/>
      <x:c r="N275" s="55"/>
      <x:c r="O275" s="20"/>
      <x:c r="P275" s="20"/>
      <x:c r="Q275" s="20"/>
      <x:c r="R275" s="20" t="str">
        <x:f>IF(C275="standard",J275,"")</x:f>
      </x:c>
      <x:c r="S275" s="20" t="str">
        <x:f>IF(C275="high_accuracy",J275,"")</x:f>
      </x:c>
    </x:row>
    <x:row r="276">
      <x:c r="A276" s="57"/>
      <x:c r="B276" s="20"/>
      <x:c r="C276" s="20"/>
      <x:c r="D276" s="59"/>
      <x:c r="E276" s="20"/>
      <x:c r="F276" s="20"/>
      <x:c r="G276" s="20"/>
      <x:c r="H276" s="59"/>
      <x:c r="I276" s="20"/>
      <x:c r="J276" s="53"/>
      <x:c r="K276" s="53"/>
      <x:c r="L276" s="53"/>
      <x:c r="M276" s="53"/>
      <x:c r="N276" s="55"/>
      <x:c r="O276" s="20"/>
      <x:c r="P276" s="20"/>
      <x:c r="Q276" s="20"/>
      <x:c r="R276" s="20" t="str">
        <x:f>IF(C276="standard",J276,"")</x:f>
      </x:c>
      <x:c r="S276" s="20" t="str">
        <x:f>IF(C276="high_accuracy",J276,"")</x:f>
      </x:c>
    </x:row>
    <x:row r="277">
      <x:c r="A277" s="57"/>
      <x:c r="B277" s="20"/>
      <x:c r="C277" s="20"/>
      <x:c r="D277" s="59"/>
      <x:c r="E277" s="20"/>
      <x:c r="F277" s="20"/>
      <x:c r="G277" s="20"/>
      <x:c r="H277" s="59"/>
      <x:c r="I277" s="20"/>
      <x:c r="J277" s="53"/>
      <x:c r="K277" s="53"/>
      <x:c r="L277" s="53"/>
      <x:c r="M277" s="53"/>
      <x:c r="N277" s="55"/>
      <x:c r="O277" s="20"/>
      <x:c r="P277" s="20"/>
      <x:c r="Q277" s="20"/>
      <x:c r="R277" s="20" t="str">
        <x:f>IF(C277="standard",J277,"")</x:f>
      </x:c>
      <x:c r="S277" s="20" t="str">
        <x:f>IF(C277="high_accuracy",J277,"")</x:f>
      </x:c>
    </x:row>
    <x:row r="278">
      <x:c r="A278" s="57"/>
      <x:c r="B278" s="20"/>
      <x:c r="C278" s="20"/>
      <x:c r="D278" s="59"/>
      <x:c r="E278" s="20"/>
      <x:c r="F278" s="20"/>
      <x:c r="G278" s="20"/>
      <x:c r="H278" s="59"/>
      <x:c r="I278" s="20"/>
      <x:c r="J278" s="53"/>
      <x:c r="K278" s="53"/>
      <x:c r="L278" s="53"/>
      <x:c r="M278" s="53"/>
      <x:c r="N278" s="55"/>
      <x:c r="O278" s="20"/>
      <x:c r="P278" s="20"/>
      <x:c r="Q278" s="20"/>
      <x:c r="R278" s="20" t="str">
        <x:f>IF(C278="standard",J278,"")</x:f>
      </x:c>
      <x:c r="S278" s="20" t="str">
        <x:f>IF(C278="high_accuracy",J278,"")</x:f>
      </x:c>
    </x:row>
    <x:row r="279">
      <x:c r="A279" s="57"/>
      <x:c r="B279" s="20"/>
      <x:c r="C279" s="20"/>
      <x:c r="D279" s="59"/>
      <x:c r="E279" s="20"/>
      <x:c r="F279" s="20"/>
      <x:c r="G279" s="20"/>
      <x:c r="H279" s="59"/>
      <x:c r="I279" s="20"/>
      <x:c r="J279" s="53"/>
      <x:c r="K279" s="53"/>
      <x:c r="L279" s="53"/>
      <x:c r="M279" s="53"/>
      <x:c r="N279" s="55"/>
      <x:c r="O279" s="20"/>
      <x:c r="P279" s="20"/>
      <x:c r="Q279" s="20"/>
      <x:c r="R279" s="20" t="str">
        <x:f>IF(C279="standard",J279,"")</x:f>
      </x:c>
      <x:c r="S279" s="20" t="str">
        <x:f>IF(C279="high_accuracy",J279,"")</x:f>
      </x:c>
    </x:row>
    <x:row r="280">
      <x:c r="A280" s="57"/>
      <x:c r="B280" s="20"/>
      <x:c r="C280" s="20"/>
      <x:c r="D280" s="59"/>
      <x:c r="E280" s="20"/>
      <x:c r="F280" s="20"/>
      <x:c r="G280" s="20"/>
      <x:c r="H280" s="59"/>
      <x:c r="I280" s="20"/>
      <x:c r="J280" s="53"/>
      <x:c r="K280" s="53"/>
      <x:c r="L280" s="53"/>
      <x:c r="M280" s="53"/>
      <x:c r="N280" s="55"/>
      <x:c r="O280" s="20"/>
      <x:c r="P280" s="20"/>
      <x:c r="Q280" s="20"/>
      <x:c r="R280" s="20" t="str">
        <x:f>IF(C280="standard",J280,"")</x:f>
      </x:c>
      <x:c r="S280" s="20" t="str">
        <x:f>IF(C280="high_accuracy",J280,"")</x:f>
      </x:c>
    </x:row>
    <x:row r="281">
      <x:c r="A281" s="57"/>
      <x:c r="B281" s="20"/>
      <x:c r="C281" s="20"/>
      <x:c r="D281" s="59"/>
      <x:c r="E281" s="20"/>
      <x:c r="F281" s="20"/>
      <x:c r="G281" s="20"/>
      <x:c r="H281" s="59"/>
      <x:c r="I281" s="20"/>
      <x:c r="J281" s="53"/>
      <x:c r="K281" s="53"/>
      <x:c r="L281" s="53"/>
      <x:c r="M281" s="53"/>
      <x:c r="N281" s="55"/>
      <x:c r="O281" s="20"/>
      <x:c r="P281" s="20"/>
      <x:c r="Q281" s="20"/>
      <x:c r="R281" s="20" t="str">
        <x:f>IF(C281="standard",J281,"")</x:f>
      </x:c>
      <x:c r="S281" s="20" t="str">
        <x:f>IF(C281="high_accuracy",J281,"")</x:f>
      </x:c>
    </x:row>
    <x:row r="282">
      <x:c r="A282" s="57"/>
      <x:c r="B282" s="20"/>
      <x:c r="C282" s="20"/>
      <x:c r="D282" s="59"/>
      <x:c r="E282" s="20"/>
      <x:c r="F282" s="20"/>
      <x:c r="G282" s="20"/>
      <x:c r="H282" s="59"/>
      <x:c r="I282" s="20"/>
      <x:c r="J282" s="53"/>
      <x:c r="K282" s="53"/>
      <x:c r="L282" s="53"/>
      <x:c r="M282" s="53"/>
      <x:c r="N282" s="55"/>
      <x:c r="O282" s="20"/>
      <x:c r="P282" s="20"/>
      <x:c r="Q282" s="20"/>
      <x:c r="R282" s="20" t="str">
        <x:f>IF(C282="standard",J282,"")</x:f>
      </x:c>
      <x:c r="S282" s="20" t="str">
        <x:f>IF(C282="high_accuracy",J282,"")</x:f>
      </x:c>
    </x:row>
    <x:row r="283">
      <x:c r="A283" s="57"/>
      <x:c r="B283" s="20"/>
      <x:c r="C283" s="20"/>
      <x:c r="D283" s="59"/>
      <x:c r="E283" s="20"/>
      <x:c r="F283" s="20"/>
      <x:c r="G283" s="20"/>
      <x:c r="H283" s="59"/>
      <x:c r="I283" s="20"/>
      <x:c r="J283" s="53"/>
      <x:c r="K283" s="53"/>
      <x:c r="L283" s="53"/>
      <x:c r="M283" s="53"/>
      <x:c r="N283" s="55"/>
      <x:c r="O283" s="20"/>
      <x:c r="P283" s="20"/>
      <x:c r="Q283" s="20"/>
      <x:c r="R283" s="20" t="str">
        <x:f>IF(C283="standard",J283,"")</x:f>
      </x:c>
      <x:c r="S283" s="20" t="str">
        <x:f>IF(C283="high_accuracy",J283,"")</x:f>
      </x:c>
    </x:row>
    <x:row r="284">
      <x:c r="A284" s="57"/>
      <x:c r="B284" s="20"/>
      <x:c r="C284" s="20"/>
      <x:c r="D284" s="59"/>
      <x:c r="E284" s="20"/>
      <x:c r="F284" s="20"/>
      <x:c r="G284" s="20"/>
      <x:c r="H284" s="59"/>
      <x:c r="I284" s="20"/>
      <x:c r="J284" s="53"/>
      <x:c r="K284" s="53"/>
      <x:c r="L284" s="53"/>
      <x:c r="M284" s="53"/>
      <x:c r="N284" s="55"/>
      <x:c r="O284" s="20"/>
      <x:c r="P284" s="20"/>
      <x:c r="Q284" s="20"/>
      <x:c r="R284" s="20" t="str">
        <x:f>IF(C284="standard",J284,"")</x:f>
      </x:c>
      <x:c r="S284" s="20" t="str">
        <x:f>IF(C284="high_accuracy",J284,"")</x:f>
      </x:c>
    </x:row>
    <x:row r="285">
      <x:c r="A285" s="57"/>
      <x:c r="B285" s="20"/>
      <x:c r="C285" s="20"/>
      <x:c r="D285" s="59"/>
      <x:c r="E285" s="20"/>
      <x:c r="F285" s="20"/>
      <x:c r="G285" s="20"/>
      <x:c r="H285" s="59"/>
      <x:c r="I285" s="20"/>
      <x:c r="J285" s="53"/>
      <x:c r="K285" s="53"/>
      <x:c r="L285" s="53"/>
      <x:c r="M285" s="53"/>
      <x:c r="N285" s="55"/>
      <x:c r="O285" s="20"/>
      <x:c r="P285" s="20"/>
      <x:c r="Q285" s="20"/>
      <x:c r="R285" s="20" t="str">
        <x:f>IF(C285="standard",J285,"")</x:f>
      </x:c>
      <x:c r="S285" s="20" t="str">
        <x:f>IF(C285="high_accuracy",J285,"")</x:f>
      </x:c>
    </x:row>
    <x:row r="286">
      <x:c r="A286" s="57"/>
      <x:c r="B286" s="20"/>
      <x:c r="C286" s="20"/>
      <x:c r="D286" s="59"/>
      <x:c r="E286" s="20"/>
      <x:c r="F286" s="20"/>
      <x:c r="G286" s="20"/>
      <x:c r="H286" s="59"/>
      <x:c r="I286" s="20"/>
      <x:c r="J286" s="53"/>
      <x:c r="K286" s="53"/>
      <x:c r="L286" s="53"/>
      <x:c r="M286" s="53"/>
      <x:c r="N286" s="55"/>
      <x:c r="O286" s="20"/>
      <x:c r="P286" s="20"/>
      <x:c r="Q286" s="20"/>
      <x:c r="R286" s="20" t="str">
        <x:f>IF(C286="standard",J286,"")</x:f>
      </x:c>
      <x:c r="S286" s="20" t="str">
        <x:f>IF(C286="high_accuracy",J286,"")</x:f>
      </x:c>
    </x:row>
    <x:row r="287">
      <x:c r="A287" s="57"/>
      <x:c r="B287" s="20"/>
      <x:c r="C287" s="20"/>
      <x:c r="D287" s="59"/>
      <x:c r="E287" s="20"/>
      <x:c r="F287" s="20"/>
      <x:c r="G287" s="20"/>
      <x:c r="H287" s="59"/>
      <x:c r="I287" s="20"/>
      <x:c r="J287" s="53"/>
      <x:c r="K287" s="53"/>
      <x:c r="L287" s="53"/>
      <x:c r="M287" s="53"/>
      <x:c r="N287" s="55"/>
      <x:c r="O287" s="20"/>
      <x:c r="P287" s="20"/>
      <x:c r="Q287" s="20"/>
      <x:c r="R287" s="20" t="str">
        <x:f>IF(C287="standard",J287,"")</x:f>
      </x:c>
      <x:c r="S287" s="20" t="str">
        <x:f>IF(C287="high_accuracy",J287,"")</x:f>
      </x:c>
    </x:row>
    <x:row r="288">
      <x:c r="A288" s="57"/>
      <x:c r="B288" s="20"/>
      <x:c r="C288" s="20"/>
      <x:c r="D288" s="59"/>
      <x:c r="E288" s="20"/>
      <x:c r="F288" s="20"/>
      <x:c r="G288" s="20"/>
      <x:c r="H288" s="59"/>
      <x:c r="I288" s="20"/>
      <x:c r="J288" s="53"/>
      <x:c r="K288" s="53"/>
      <x:c r="L288" s="53"/>
      <x:c r="M288" s="53"/>
      <x:c r="N288" s="55"/>
      <x:c r="O288" s="20"/>
      <x:c r="P288" s="20"/>
      <x:c r="Q288" s="20"/>
      <x:c r="R288" s="20" t="str">
        <x:f>IF(C288="standard",J288,"")</x:f>
      </x:c>
      <x:c r="S288" s="20" t="str">
        <x:f>IF(C288="high_accuracy",J288,"")</x:f>
      </x:c>
    </x:row>
    <x:row r="289">
      <x:c r="A289" s="57"/>
      <x:c r="B289" s="20"/>
      <x:c r="C289" s="20"/>
      <x:c r="D289" s="59"/>
      <x:c r="E289" s="20"/>
      <x:c r="F289" s="20"/>
      <x:c r="G289" s="20"/>
      <x:c r="H289" s="59"/>
      <x:c r="I289" s="20"/>
      <x:c r="J289" s="53"/>
      <x:c r="K289" s="53"/>
      <x:c r="L289" s="53"/>
      <x:c r="M289" s="53"/>
      <x:c r="N289" s="55"/>
      <x:c r="O289" s="20"/>
      <x:c r="P289" s="20"/>
      <x:c r="Q289" s="20"/>
      <x:c r="R289" s="20" t="str">
        <x:f>IF(C289="standard",J289,"")</x:f>
      </x:c>
      <x:c r="S289" s="20" t="str">
        <x:f>IF(C289="high_accuracy",J289,"")</x:f>
      </x:c>
    </x:row>
    <x:row r="290">
      <x:c r="A290" s="57"/>
      <x:c r="B290" s="20"/>
      <x:c r="C290" s="20"/>
      <x:c r="D290" s="59"/>
      <x:c r="E290" s="20"/>
      <x:c r="F290" s="20"/>
      <x:c r="G290" s="20"/>
      <x:c r="H290" s="59"/>
      <x:c r="I290" s="20"/>
      <x:c r="J290" s="53"/>
      <x:c r="K290" s="53"/>
      <x:c r="L290" s="53"/>
      <x:c r="M290" s="53"/>
      <x:c r="N290" s="55"/>
      <x:c r="O290" s="20"/>
      <x:c r="P290" s="20"/>
      <x:c r="Q290" s="20"/>
      <x:c r="R290" s="20" t="str">
        <x:f>IF(C290="standard",J290,"")</x:f>
      </x:c>
      <x:c r="S290" s="20" t="str">
        <x:f>IF(C290="high_accuracy",J290,"")</x:f>
      </x:c>
    </x:row>
    <x:row r="291">
      <x:c r="A291" s="57"/>
      <x:c r="B291" s="20"/>
      <x:c r="C291" s="20"/>
      <x:c r="D291" s="59"/>
      <x:c r="E291" s="20"/>
      <x:c r="F291" s="20"/>
      <x:c r="G291" s="20"/>
      <x:c r="H291" s="59"/>
      <x:c r="I291" s="20"/>
      <x:c r="J291" s="53"/>
      <x:c r="K291" s="53"/>
      <x:c r="L291" s="53"/>
      <x:c r="M291" s="53"/>
      <x:c r="N291" s="55"/>
      <x:c r="O291" s="20"/>
      <x:c r="P291" s="20"/>
      <x:c r="Q291" s="20"/>
      <x:c r="R291" s="20" t="str">
        <x:f>IF(C291="standard",J291,"")</x:f>
      </x:c>
      <x:c r="S291" s="20" t="str">
        <x:f>IF(C291="high_accuracy",J291,"")</x:f>
      </x:c>
    </x:row>
    <x:row r="292">
      <x:c r="A292" s="57"/>
      <x:c r="B292" s="20"/>
      <x:c r="C292" s="20"/>
      <x:c r="D292" s="59"/>
      <x:c r="E292" s="20"/>
      <x:c r="F292" s="20"/>
      <x:c r="G292" s="20"/>
      <x:c r="H292" s="59"/>
      <x:c r="I292" s="20"/>
      <x:c r="J292" s="53"/>
      <x:c r="K292" s="53"/>
      <x:c r="L292" s="53"/>
      <x:c r="M292" s="53"/>
      <x:c r="N292" s="55"/>
      <x:c r="O292" s="20"/>
      <x:c r="P292" s="20"/>
      <x:c r="Q292" s="20"/>
      <x:c r="R292" s="20" t="str">
        <x:f>IF(C292="standard",J292,"")</x:f>
      </x:c>
      <x:c r="S292" s="20" t="str">
        <x:f>IF(C292="high_accuracy",J292,"")</x:f>
      </x:c>
    </x:row>
    <x:row r="293">
      <x:c r="A293" s="57"/>
      <x:c r="B293" s="20"/>
      <x:c r="C293" s="20"/>
      <x:c r="D293" s="59"/>
      <x:c r="E293" s="20"/>
      <x:c r="F293" s="20"/>
      <x:c r="G293" s="20"/>
      <x:c r="H293" s="59"/>
      <x:c r="I293" s="20"/>
      <x:c r="J293" s="53"/>
      <x:c r="K293" s="53"/>
      <x:c r="L293" s="53"/>
      <x:c r="M293" s="53"/>
      <x:c r="N293" s="55"/>
      <x:c r="O293" s="20"/>
      <x:c r="P293" s="20"/>
      <x:c r="Q293" s="20"/>
      <x:c r="R293" s="20" t="str">
        <x:f>IF(C293="standard",J293,"")</x:f>
      </x:c>
      <x:c r="S293" s="20" t="str">
        <x:f>IF(C293="high_accuracy",J293,"")</x:f>
      </x:c>
    </x:row>
    <x:row r="294">
      <x:c r="A294" s="57"/>
      <x:c r="B294" s="20"/>
      <x:c r="C294" s="20"/>
      <x:c r="D294" s="59"/>
      <x:c r="E294" s="20"/>
      <x:c r="F294" s="20"/>
      <x:c r="G294" s="20"/>
      <x:c r="H294" s="59"/>
      <x:c r="I294" s="20"/>
      <x:c r="J294" s="53"/>
      <x:c r="K294" s="53"/>
      <x:c r="L294" s="53"/>
      <x:c r="M294" s="53"/>
      <x:c r="N294" s="55"/>
      <x:c r="O294" s="20"/>
      <x:c r="P294" s="20"/>
      <x:c r="Q294" s="20"/>
      <x:c r="R294" s="20" t="str">
        <x:f>IF(C294="standard",J294,"")</x:f>
      </x:c>
      <x:c r="S294" s="20" t="str">
        <x:f>IF(C294="high_accuracy",J294,"")</x:f>
      </x:c>
    </x:row>
    <x:row r="295">
      <x:c r="A295" s="57"/>
      <x:c r="B295" s="20"/>
      <x:c r="C295" s="20"/>
      <x:c r="D295" s="59"/>
      <x:c r="E295" s="20"/>
      <x:c r="F295" s="20"/>
      <x:c r="G295" s="20"/>
      <x:c r="H295" s="59"/>
      <x:c r="I295" s="20"/>
      <x:c r="J295" s="53"/>
      <x:c r="K295" s="53"/>
      <x:c r="L295" s="53"/>
      <x:c r="M295" s="53"/>
      <x:c r="N295" s="55"/>
      <x:c r="O295" s="20"/>
      <x:c r="P295" s="20"/>
      <x:c r="Q295" s="20"/>
      <x:c r="R295" s="20" t="str">
        <x:f>IF(C295="standard",J295,"")</x:f>
      </x:c>
      <x:c r="S295" s="20" t="str">
        <x:f>IF(C295="high_accuracy",J295,"")</x:f>
      </x:c>
    </x:row>
    <x:row r="296">
      <x:c r="A296" s="57"/>
      <x:c r="B296" s="20"/>
      <x:c r="C296" s="20"/>
      <x:c r="D296" s="59"/>
      <x:c r="E296" s="20"/>
      <x:c r="F296" s="20"/>
      <x:c r="G296" s="20"/>
      <x:c r="H296" s="59"/>
      <x:c r="I296" s="20"/>
      <x:c r="J296" s="53"/>
      <x:c r="K296" s="53"/>
      <x:c r="L296" s="53"/>
      <x:c r="M296" s="53"/>
      <x:c r="N296" s="55"/>
      <x:c r="O296" s="20"/>
      <x:c r="P296" s="20"/>
      <x:c r="Q296" s="20"/>
      <x:c r="R296" s="20" t="str">
        <x:f>IF(C296="standard",J296,"")</x:f>
      </x:c>
      <x:c r="S296" s="20" t="str">
        <x:f>IF(C296="high_accuracy",J296,"")</x:f>
      </x:c>
    </x:row>
    <x:row r="297">
      <x:c r="A297" s="57"/>
      <x:c r="B297" s="20"/>
      <x:c r="C297" s="20"/>
      <x:c r="D297" s="59"/>
      <x:c r="E297" s="20"/>
      <x:c r="F297" s="20"/>
      <x:c r="G297" s="20"/>
      <x:c r="H297" s="59"/>
      <x:c r="I297" s="20"/>
      <x:c r="J297" s="53"/>
      <x:c r="K297" s="53"/>
      <x:c r="L297" s="53"/>
      <x:c r="M297" s="53"/>
      <x:c r="N297" s="55"/>
      <x:c r="O297" s="20"/>
      <x:c r="P297" s="20"/>
      <x:c r="Q297" s="20"/>
      <x:c r="R297" s="20" t="str">
        <x:f>IF(C297="standard",J297,"")</x:f>
      </x:c>
      <x:c r="S297" s="20" t="str">
        <x:f>IF(C297="high_accuracy",J297,"")</x:f>
      </x:c>
    </x:row>
    <x:row r="298">
      <x:c r="A298" s="57"/>
      <x:c r="B298" s="20"/>
      <x:c r="C298" s="20"/>
      <x:c r="D298" s="59"/>
      <x:c r="E298" s="20"/>
      <x:c r="F298" s="20"/>
      <x:c r="G298" s="20"/>
      <x:c r="H298" s="59"/>
      <x:c r="I298" s="20"/>
      <x:c r="J298" s="53"/>
      <x:c r="K298" s="53"/>
      <x:c r="L298" s="53"/>
      <x:c r="M298" s="53"/>
      <x:c r="N298" s="55"/>
      <x:c r="O298" s="20"/>
      <x:c r="P298" s="20"/>
      <x:c r="Q298" s="20"/>
      <x:c r="R298" s="20" t="str">
        <x:f>IF(C298="standard",J298,"")</x:f>
      </x:c>
      <x:c r="S298" s="20" t="str">
        <x:f>IF(C298="high_accuracy",J298,"")</x:f>
      </x:c>
    </x:row>
    <x:row r="299">
      <x:c r="A299" s="57"/>
      <x:c r="B299" s="20"/>
      <x:c r="C299" s="20"/>
      <x:c r="D299" s="59"/>
      <x:c r="E299" s="20"/>
      <x:c r="F299" s="20"/>
      <x:c r="G299" s="20"/>
      <x:c r="H299" s="59"/>
      <x:c r="I299" s="20"/>
      <x:c r="J299" s="53"/>
      <x:c r="K299" s="53"/>
      <x:c r="L299" s="53"/>
      <x:c r="M299" s="53"/>
      <x:c r="N299" s="55"/>
      <x:c r="O299" s="20"/>
      <x:c r="P299" s="20"/>
      <x:c r="Q299" s="20"/>
      <x:c r="R299" s="20" t="str">
        <x:f>IF(C299="standard",J299,"")</x:f>
      </x:c>
      <x:c r="S299" s="20" t="str">
        <x:f>IF(C299="high_accuracy",J299,"")</x:f>
      </x:c>
    </x:row>
    <x:row r="300">
      <x:c r="A300" s="57"/>
      <x:c r="B300" s="20"/>
      <x:c r="C300" s="20"/>
      <x:c r="D300" s="59"/>
      <x:c r="E300" s="20"/>
      <x:c r="F300" s="20"/>
      <x:c r="G300" s="20"/>
      <x:c r="H300" s="59"/>
      <x:c r="I300" s="20"/>
      <x:c r="J300" s="53"/>
      <x:c r="K300" s="53"/>
      <x:c r="L300" s="53"/>
      <x:c r="M300" s="53"/>
      <x:c r="N300" s="55"/>
      <x:c r="O300" s="20"/>
      <x:c r="P300" s="20"/>
      <x:c r="Q300" s="20"/>
      <x:c r="R300" s="20" t="str">
        <x:f>IF(C300="standard",J300,"")</x:f>
      </x:c>
      <x:c r="S300" s="20" t="str">
        <x:f>IF(C300="high_accuracy",J300,"")</x:f>
      </x:c>
    </x:row>
    <x:row r="301">
      <x:c r="A301" s="57"/>
      <x:c r="B301" s="20"/>
      <x:c r="C301" s="20"/>
      <x:c r="D301" s="59"/>
      <x:c r="E301" s="20"/>
      <x:c r="F301" s="20"/>
      <x:c r="G301" s="20"/>
      <x:c r="H301" s="59"/>
      <x:c r="I301" s="20"/>
      <x:c r="J301" s="53"/>
      <x:c r="K301" s="53"/>
      <x:c r="L301" s="53"/>
      <x:c r="M301" s="53"/>
      <x:c r="N301" s="55"/>
      <x:c r="O301" s="20"/>
      <x:c r="P301" s="20"/>
      <x:c r="Q301" s="20"/>
      <x:c r="R301" s="20" t="str">
        <x:f>IF(C301="standard",J301,"")</x:f>
      </x:c>
      <x:c r="S301" s="20" t="str">
        <x:f>IF(C301="high_accuracy",J301,"")</x:f>
      </x:c>
    </x:row>
    <x:row r="302">
      <x:c r="A302" s="57"/>
      <x:c r="B302" s="20"/>
      <x:c r="C302" s="20"/>
      <x:c r="D302" s="59"/>
      <x:c r="E302" s="20"/>
      <x:c r="F302" s="20"/>
      <x:c r="G302" s="20"/>
      <x:c r="H302" s="59"/>
      <x:c r="I302" s="20"/>
      <x:c r="J302" s="53"/>
      <x:c r="K302" s="53"/>
      <x:c r="L302" s="53"/>
      <x:c r="M302" s="53"/>
      <x:c r="N302" s="55"/>
      <x:c r="O302" s="20"/>
      <x:c r="P302" s="20"/>
      <x:c r="Q302" s="20"/>
      <x:c r="R302" s="20" t="str">
        <x:f>IF(C302="standard",J302,"")</x:f>
      </x:c>
      <x:c r="S302" s="20" t="str">
        <x:f>IF(C302="high_accuracy",J302,"")</x:f>
      </x:c>
    </x:row>
    <x:row r="303">
      <x:c r="A303" s="57"/>
      <x:c r="B303" s="20"/>
      <x:c r="C303" s="20"/>
      <x:c r="D303" s="59"/>
      <x:c r="E303" s="20"/>
      <x:c r="F303" s="20"/>
      <x:c r="G303" s="20"/>
      <x:c r="H303" s="59"/>
      <x:c r="I303" s="20"/>
      <x:c r="J303" s="53"/>
      <x:c r="K303" s="53"/>
      <x:c r="L303" s="53"/>
      <x:c r="M303" s="53"/>
      <x:c r="N303" s="55"/>
      <x:c r="O303" s="20"/>
      <x:c r="P303" s="20"/>
      <x:c r="Q303" s="20"/>
      <x:c r="R303" s="20" t="str">
        <x:f>IF(C303="standard",J303,"")</x:f>
      </x:c>
      <x:c r="S303" s="20" t="str">
        <x:f>IF(C303="high_accuracy",J303,"")</x:f>
      </x:c>
    </x:row>
  </x:sheetData>
  <x:mergeCells>
    <x:mergeCell ref="A1:S1"/>
  </x:mergeCells>
  <x:conditionalFormatting sqref="I4:I303">
    <x:cfRule type="containsText" dxfId="21" priority="1" operator="containsText" text="SUCCESS"/>
    <x:cfRule type="containsText" dxfId="22" priority="2" operator="containsText" text="FAILED"/>
    <x:cfRule type="containsText" dxfId="23" priority="3" operator="containsText" text="TIMEOUT"/>
  </x:conditionalFormatting>
  <x:dataValidations count="2">
    <x:dataValidation type="list" sqref="C4:C303">
      <x:formula1>"standard,high_accuracy"</x:formula1>
    </x:dataValidation>
    <x:dataValidation type="list" sqref="I4:I303">
      <x:formula1>"PENDING,PROCESSING,SUCCESS,FAILED,TIMEOUT,请求失败"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213aed08b646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22" hidden="0" customWidth="1"/>
  </x:cols>
  <x:sheetData>
    <x:row r="1" ht="32" customHeight="1">
      <x:c r="A1" s="4" t="str">
        <x:v>Standard 与 High Accuracy 对比（建议8～12例）</x:v>
      </x:c>
      <x:c r="B1" s="4" t="str">
        <x:v>Standard 与 High Accuracy 对比（建议8～12例）</x:v>
      </x:c>
      <x:c r="C1" s="4" t="str">
        <x:v>Standard 与 High Accuracy 对比（建议8～12例）</x:v>
      </x:c>
      <x:c r="D1" s="4" t="str">
        <x:v>Standard 与 High Accuracy 对比（建议8～12例）</x:v>
      </x:c>
      <x:c r="E1" s="4" t="str">
        <x:v>Standard 与 High Accuracy 对比（建议8～12例）</x:v>
      </x:c>
      <x:c r="F1" s="4" t="str">
        <x:v>Standard 与 High Accuracy 对比（建议8～12例）</x:v>
      </x:c>
      <x:c r="G1" s="4" t="str">
        <x:v>Standard 与 High Accuracy 对比（建议8～12例）</x:v>
      </x:c>
      <x:c r="H1" s="4" t="str">
        <x:v>Standard 与 High Accuracy 对比（建议8～12例）</x:v>
      </x:c>
      <x:c r="I1" s="4" t="str">
        <x:v>Standard 与 High Accuracy 对比（建议8～12例）</x:v>
      </x:c>
      <x:c r="J1" s="4" t="str">
        <x:v>Standard 与 High Accuracy 对比（建议8～12例）</x:v>
      </x:c>
      <x:c r="K1" s="4" t="str">
        <x:v>Standard 与 High Accuracy 对比（建议8～12例）</x:v>
      </x:c>
    </x:row>
    <x:row r="3" ht="30" customHeight="1">
      <x:c r="A3" s="13" t="str">
        <x:v>案例编号</x:v>
      </x:c>
      <x:c r="B3" s="13" t="str">
        <x:v>适用字段数</x:v>
      </x:c>
      <x:c r="C3" s="13" t="str">
        <x:v>Standard正确数</x:v>
      </x:c>
      <x:c r="D3" s="13" t="str">
        <x:v>High正确数</x:v>
      </x:c>
      <x:c r="E3" s="13" t="str">
        <x:v>Standard准确率</x:v>
      </x:c>
      <x:c r="F3" s="13" t="str">
        <x:v>High准确率</x:v>
      </x:c>
      <x:c r="G3" s="13" t="str">
        <x:v>准确率提升</x:v>
      </x:c>
      <x:c r="H3" s="13" t="str">
        <x:v>Standard耗时ms</x:v>
      </x:c>
      <x:c r="I3" s="13" t="str">
        <x:v>High耗时ms</x:v>
      </x:c>
      <x:c r="J3" s="13" t="str">
        <x:v>额外耗时ms</x:v>
      </x:c>
      <x:c r="K3" s="13" t="str">
        <x:v>业务结论</x:v>
      </x:c>
    </x:row>
    <x:row r="4">
      <x:c r="A4" s="19" t="str">
        <x:v>YY-001</x:v>
      </x:c>
      <x:c r="B4" s="19"/>
      <x:c r="C4" s="19"/>
      <x:c r="D4" s="19"/>
      <x:c r="E4" s="60" t="str">
        <x:f>IFERROR(C4/B4,"")</x:f>
      </x:c>
      <x:c r="F4" s="60" t="str">
        <x:f>IFERROR(D4/B4,"")</x:f>
      </x:c>
      <x:c r="G4" s="60" t="str">
        <x:f>IF(OR(E4="",F4=""),"",F4-E4)</x:f>
      </x:c>
      <x:c r="H4" s="52"/>
      <x:c r="I4" s="52"/>
      <x:c r="J4" s="52" t="str">
        <x:f>IF(OR(H4="",I4=""),"",I4-H4)</x:f>
      </x:c>
      <x:c r="K4" s="19" t="str">
        <x:v>待核对</x:v>
      </x:c>
    </x:row>
    <x:row r="5">
      <x:c r="A5" s="20" t="str">
        <x:v>YY-002</x:v>
      </x:c>
      <x:c r="B5" s="20"/>
      <x:c r="C5" s="20"/>
      <x:c r="D5" s="20"/>
      <x:c r="E5" s="61" t="str">
        <x:f>IFERROR(C5/B5,"")</x:f>
      </x:c>
      <x:c r="F5" s="61" t="str">
        <x:f>IFERROR(D5/B5,"")</x:f>
      </x:c>
      <x:c r="G5" s="61" t="str">
        <x:f>IF(OR(E5="",F5=""),"",F5-E5)</x:f>
      </x:c>
      <x:c r="H5" s="53"/>
      <x:c r="I5" s="53"/>
      <x:c r="J5" s="53" t="str">
        <x:f>IF(OR(H5="",I5=""),"",I5-H5)</x:f>
      </x:c>
      <x:c r="K5" s="20" t="str">
        <x:v>待核对</x:v>
      </x:c>
    </x:row>
    <x:row r="6">
      <x:c r="A6" s="20" t="str">
        <x:v>YY-003</x:v>
      </x:c>
      <x:c r="B6" s="20"/>
      <x:c r="C6" s="20"/>
      <x:c r="D6" s="20"/>
      <x:c r="E6" s="61" t="str">
        <x:f>IFERROR(C6/B6,"")</x:f>
      </x:c>
      <x:c r="F6" s="61" t="str">
        <x:f>IFERROR(D6/B6,"")</x:f>
      </x:c>
      <x:c r="G6" s="61" t="str">
        <x:f>IF(OR(E6="",F6=""),"",F6-E6)</x:f>
      </x:c>
      <x:c r="H6" s="53"/>
      <x:c r="I6" s="53"/>
      <x:c r="J6" s="53" t="str">
        <x:f>IF(OR(H6="",I6=""),"",I6-H6)</x:f>
      </x:c>
      <x:c r="K6" s="20" t="str">
        <x:v>待核对</x:v>
      </x:c>
    </x:row>
    <x:row r="7">
      <x:c r="A7" s="20" t="str">
        <x:v>YY-004</x:v>
      </x:c>
      <x:c r="B7" s="20"/>
      <x:c r="C7" s="20"/>
      <x:c r="D7" s="20"/>
      <x:c r="E7" s="61" t="str">
        <x:f>IFERROR(C7/B7,"")</x:f>
      </x:c>
      <x:c r="F7" s="61" t="str">
        <x:f>IFERROR(D7/B7,"")</x:f>
      </x:c>
      <x:c r="G7" s="61" t="str">
        <x:f>IF(OR(E7="",F7=""),"",F7-E7)</x:f>
      </x:c>
      <x:c r="H7" s="53"/>
      <x:c r="I7" s="53"/>
      <x:c r="J7" s="53" t="str">
        <x:f>IF(OR(H7="",I7=""),"",I7-H7)</x:f>
      </x:c>
      <x:c r="K7" s="20" t="str">
        <x:v>待核对</x:v>
      </x:c>
    </x:row>
    <x:row r="8">
      <x:c r="A8" s="20" t="str">
        <x:v>YY-005</x:v>
      </x:c>
      <x:c r="B8" s="20"/>
      <x:c r="C8" s="20"/>
      <x:c r="D8" s="20"/>
      <x:c r="E8" s="61" t="str">
        <x:f>IFERROR(C8/B8,"")</x:f>
      </x:c>
      <x:c r="F8" s="61" t="str">
        <x:f>IFERROR(D8/B8,"")</x:f>
      </x:c>
      <x:c r="G8" s="61" t="str">
        <x:f>IF(OR(E8="",F8=""),"",F8-E8)</x:f>
      </x:c>
      <x:c r="H8" s="53"/>
      <x:c r="I8" s="53"/>
      <x:c r="J8" s="53" t="str">
        <x:f>IF(OR(H8="",I8=""),"",I8-H8)</x:f>
      </x:c>
      <x:c r="K8" s="20" t="str">
        <x:v>待核对</x:v>
      </x:c>
    </x:row>
    <x:row r="9">
      <x:c r="A9" s="20" t="str">
        <x:v>YY-006</x:v>
      </x:c>
      <x:c r="B9" s="20"/>
      <x:c r="C9" s="20"/>
      <x:c r="D9" s="20"/>
      <x:c r="E9" s="61" t="str">
        <x:f>IFERROR(C9/B9,"")</x:f>
      </x:c>
      <x:c r="F9" s="61" t="str">
        <x:f>IFERROR(D9/B9,"")</x:f>
      </x:c>
      <x:c r="G9" s="61" t="str">
        <x:f>IF(OR(E9="",F9=""),"",F9-E9)</x:f>
      </x:c>
      <x:c r="H9" s="53"/>
      <x:c r="I9" s="53"/>
      <x:c r="J9" s="53" t="str">
        <x:f>IF(OR(H9="",I9=""),"",I9-H9)</x:f>
      </x:c>
      <x:c r="K9" s="20" t="str">
        <x:v>待核对</x:v>
      </x:c>
    </x:row>
    <x:row r="10">
      <x:c r="A10" s="20" t="str">
        <x:v>YY-007</x:v>
      </x:c>
      <x:c r="B10" s="20"/>
      <x:c r="C10" s="20"/>
      <x:c r="D10" s="20"/>
      <x:c r="E10" s="61" t="str">
        <x:f>IFERROR(C10/B10,"")</x:f>
      </x:c>
      <x:c r="F10" s="61" t="str">
        <x:f>IFERROR(D10/B10,"")</x:f>
      </x:c>
      <x:c r="G10" s="61" t="str">
        <x:f>IF(OR(E10="",F10=""),"",F10-E10)</x:f>
      </x:c>
      <x:c r="H10" s="53"/>
      <x:c r="I10" s="53"/>
      <x:c r="J10" s="53" t="str">
        <x:f>IF(OR(H10="",I10=""),"",I10-H10)</x:f>
      </x:c>
      <x:c r="K10" s="20" t="str">
        <x:v>待核对</x:v>
      </x:c>
    </x:row>
    <x:row r="11">
      <x:c r="A11" s="20" t="str">
        <x:v>YY-008</x:v>
      </x:c>
      <x:c r="B11" s="20"/>
      <x:c r="C11" s="20"/>
      <x:c r="D11" s="20"/>
      <x:c r="E11" s="61" t="str">
        <x:f>IFERROR(C11/B11,"")</x:f>
      </x:c>
      <x:c r="F11" s="61" t="str">
        <x:f>IFERROR(D11/B11,"")</x:f>
      </x:c>
      <x:c r="G11" s="61" t="str">
        <x:f>IF(OR(E11="",F11=""),"",F11-E11)</x:f>
      </x:c>
      <x:c r="H11" s="53"/>
      <x:c r="I11" s="53"/>
      <x:c r="J11" s="53" t="str">
        <x:f>IF(OR(H11="",I11=""),"",I11-H11)</x:f>
      </x:c>
      <x:c r="K11" s="20" t="str">
        <x:v>待核对</x:v>
      </x:c>
    </x:row>
    <x:row r="12">
      <x:c r="A12" s="20" t="str">
        <x:v>YY-009</x:v>
      </x:c>
      <x:c r="B12" s="20"/>
      <x:c r="C12" s="20"/>
      <x:c r="D12" s="20"/>
      <x:c r="E12" s="61" t="str">
        <x:f>IFERROR(C12/B12,"")</x:f>
      </x:c>
      <x:c r="F12" s="61" t="str">
        <x:f>IFERROR(D12/B12,"")</x:f>
      </x:c>
      <x:c r="G12" s="61" t="str">
        <x:f>IF(OR(E12="",F12=""),"",F12-E12)</x:f>
      </x:c>
      <x:c r="H12" s="53"/>
      <x:c r="I12" s="53"/>
      <x:c r="J12" s="53" t="str">
        <x:f>IF(OR(H12="",I12=""),"",I12-H12)</x:f>
      </x:c>
      <x:c r="K12" s="20" t="str">
        <x:v>待核对</x:v>
      </x:c>
    </x:row>
    <x:row r="13">
      <x:c r="A13" s="20" t="str">
        <x:v>YY-010</x:v>
      </x:c>
      <x:c r="B13" s="20"/>
      <x:c r="C13" s="20"/>
      <x:c r="D13" s="20"/>
      <x:c r="E13" s="61" t="str">
        <x:f>IFERROR(C13/B13,"")</x:f>
      </x:c>
      <x:c r="F13" s="61" t="str">
        <x:f>IFERROR(D13/B13,"")</x:f>
      </x:c>
      <x:c r="G13" s="61" t="str">
        <x:f>IF(OR(E13="",F13=""),"",F13-E13)</x:f>
      </x:c>
      <x:c r="H13" s="53"/>
      <x:c r="I13" s="53"/>
      <x:c r="J13" s="53" t="str">
        <x:f>IF(OR(H13="",I13=""),"",I13-H13)</x:f>
      </x:c>
      <x:c r="K13" s="20" t="str">
        <x:v>待核对</x:v>
      </x:c>
    </x:row>
    <x:row r="14">
      <x:c r="A14" s="20" t="str">
        <x:v>YY-011</x:v>
      </x:c>
      <x:c r="B14" s="20"/>
      <x:c r="C14" s="20"/>
      <x:c r="D14" s="20"/>
      <x:c r="E14" s="61" t="str">
        <x:f>IFERROR(C14/B14,"")</x:f>
      </x:c>
      <x:c r="F14" s="61" t="str">
        <x:f>IFERROR(D14/B14,"")</x:f>
      </x:c>
      <x:c r="G14" s="61" t="str">
        <x:f>IF(OR(E14="",F14=""),"",F14-E14)</x:f>
      </x:c>
      <x:c r="H14" s="53"/>
      <x:c r="I14" s="53"/>
      <x:c r="J14" s="53" t="str">
        <x:f>IF(OR(H14="",I14=""),"",I14-H14)</x:f>
      </x:c>
      <x:c r="K14" s="20" t="str">
        <x:v>待核对</x:v>
      </x:c>
    </x:row>
    <x:row r="15">
      <x:c r="A15" s="20" t="str">
        <x:v>YY-012</x:v>
      </x:c>
      <x:c r="B15" s="20"/>
      <x:c r="C15" s="20"/>
      <x:c r="D15" s="20"/>
      <x:c r="E15" s="61" t="str">
        <x:f>IFERROR(C15/B15,"")</x:f>
      </x:c>
      <x:c r="F15" s="61" t="str">
        <x:f>IFERROR(D15/B15,"")</x:f>
      </x:c>
      <x:c r="G15" s="61" t="str">
        <x:f>IF(OR(E15="",F15=""),"",F15-E15)</x:f>
      </x:c>
      <x:c r="H15" s="53"/>
      <x:c r="I15" s="53"/>
      <x:c r="J15" s="53" t="str">
        <x:f>IF(OR(H15="",I15=""),"",I15-H15)</x:f>
      </x:c>
      <x:c r="K15" s="20" t="str">
        <x:v>待核对</x:v>
      </x:c>
    </x:row>
  </x:sheetData>
  <x:mergeCells>
    <x:mergeCell ref="A1:K1"/>
  </x:mergeCells>
  <x:conditionalFormatting sqref="G4:G15">
    <x:cfRule type="cellIs" dxfId="24" priority="1" operator="greaterThan">
      <x:formula>0</x:formula>
    </x:cfRule>
  </x:conditionalFormatting>
  <x:dataValidations count="1">
    <x:dataValidation type="list" sqref="K4:K15">
      <x:formula1>"待核对,建议高精度,标准模式足够,高精度无改善,不适用"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bc711435024a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20" hidden="0" customWidth="1"/>
    <x:col min="5" max="5" width="11" hidden="0" customWidth="1"/>
    <x:col min="6" max="6" width="36" hidden="0" customWidth="1"/>
    <x:col min="7" max="7" width="42" hidden="0" customWidth="1"/>
    <x:col min="8" max="8" width="36" hidden="0" customWidth="1"/>
    <x:col min="9" max="9" width="36" hidden="0" customWidth="1"/>
    <x:col min="10" max="10" width="16" hidden="0" customWidth="1"/>
    <x:col min="11" max="11" width="16" hidden="0" customWidth="1"/>
    <x:col min="12" max="12" width="16" hidden="0" customWidth="1"/>
    <x:col min="13" max="13" width="25" hidden="0" customWidth="1"/>
    <x:col min="14" max="14" width="40" hidden="0" customWidth="1"/>
  </x:cols>
  <x:sheetData>
    <x:row r="1" ht="32" customHeight="1">
      <x:c r="A1" s="4" t="str">
        <x:v>问题清单与闭环状态</x:v>
      </x:c>
      <x:c r="B1" s="4" t="str">
        <x:v>问题清单与闭环状态</x:v>
      </x:c>
      <x:c r="C1" s="4" t="str">
        <x:v>问题清单与闭环状态</x:v>
      </x:c>
      <x:c r="D1" s="4" t="str">
        <x:v>问题清单与闭环状态</x:v>
      </x:c>
      <x:c r="E1" s="4" t="str">
        <x:v>问题清单与闭环状态</x:v>
      </x:c>
      <x:c r="F1" s="4" t="str">
        <x:v>问题清单与闭环状态</x:v>
      </x:c>
      <x:c r="G1" s="4" t="str">
        <x:v>问题清单与闭环状态</x:v>
      </x:c>
      <x:c r="H1" s="4" t="str">
        <x:v>问题清单与闭环状态</x:v>
      </x:c>
      <x:c r="I1" s="4" t="str">
        <x:v>问题清单与闭环状态</x:v>
      </x:c>
      <x:c r="J1" s="4" t="str">
        <x:v>问题清单与闭环状态</x:v>
      </x:c>
      <x:c r="K1" s="4" t="str">
        <x:v>问题清单与闭环状态</x:v>
      </x:c>
      <x:c r="L1" s="4" t="str">
        <x:v>问题清单与闭环状态</x:v>
      </x:c>
      <x:c r="M1" s="4" t="str">
        <x:v>问题清单与闭环状态</x:v>
      </x:c>
      <x:c r="N1" s="4" t="str">
        <x:v>问题清单与闭环状态</x:v>
      </x:c>
    </x:row>
    <x:row r="3" ht="30" customHeight="1">
      <x:c r="A3" s="13" t="str">
        <x:v>问题ID</x:v>
      </x:c>
      <x:c r="B3" s="13" t="str">
        <x:v>案例编号</x:v>
      </x:c>
      <x:c r="C3" s="13" t="str">
        <x:v>字段</x:v>
      </x:c>
      <x:c r="D3" s="13" t="str">
        <x:v>错误归因</x:v>
      </x:c>
      <x:c r="E3" s="13" t="str">
        <x:v>问题等级</x:v>
      </x:c>
      <x:c r="F3" s="13" t="str">
        <x:v>现象</x:v>
      </x:c>
      <x:c r="G3" s="13" t="str">
        <x:v>原文证据</x:v>
      </x:c>
      <x:c r="H3" s="13" t="str">
        <x:v>预期结果</x:v>
      </x:c>
      <x:c r="I3" s="13" t="str">
        <x:v>实际结果</x:v>
      </x:c>
      <x:c r="J3" s="13" t="str">
        <x:v>状态</x:v>
      </x:c>
      <x:c r="K3" s="13" t="str">
        <x:v>负责人</x:v>
      </x:c>
      <x:c r="L3" s="13" t="str">
        <x:v>计划完成日</x:v>
      </x:c>
      <x:c r="M3" s="13" t="str">
        <x:v>复测Task ID</x:v>
      </x:c>
      <x:c r="N3" s="13" t="str">
        <x:v>结论/下一步</x:v>
      </x:c>
    </x:row>
    <x:row r="4">
      <x:c r="A4" s="19" t="str">
        <x:v>ISSUE-001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48"/>
      <x:c r="M4" s="19"/>
      <x:c r="N4" s="19"/>
    </x:row>
    <x:row r="5">
      <x:c r="A5" s="20" t="str">
        <x:v>ISSUE-002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49"/>
      <x:c r="M5" s="20"/>
      <x:c r="N5" s="20"/>
    </x:row>
    <x:row r="6">
      <x:c r="A6" s="20" t="str">
        <x:v>ISSUE-003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49"/>
      <x:c r="M6" s="20"/>
      <x:c r="N6" s="20"/>
    </x:row>
    <x:row r="7">
      <x:c r="A7" s="20" t="str">
        <x:v>ISSUE-004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49"/>
      <x:c r="M7" s="20"/>
      <x:c r="N7" s="20"/>
    </x:row>
    <x:row r="8">
      <x:c r="A8" s="20" t="str">
        <x:v>ISSUE-005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49"/>
      <x:c r="M8" s="20"/>
      <x:c r="N8" s="20"/>
    </x:row>
    <x:row r="9">
      <x:c r="A9" s="20" t="str">
        <x:v>ISSUE-006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49"/>
      <x:c r="M9" s="20"/>
      <x:c r="N9" s="20"/>
    </x:row>
    <x:row r="10">
      <x:c r="A10" s="20" t="str">
        <x:v>ISSUE-007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49"/>
      <x:c r="M10" s="20"/>
      <x:c r="N10" s="20"/>
    </x:row>
    <x:row r="11">
      <x:c r="A11" s="20" t="str">
        <x:v>ISSUE-008</x:v>
      </x:c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49"/>
      <x:c r="M11" s="20"/>
      <x:c r="N11" s="20"/>
    </x:row>
    <x:row r="12">
      <x:c r="A12" s="20" t="str">
        <x:v>ISSUE-009</x:v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49"/>
      <x:c r="M12" s="20"/>
      <x:c r="N12" s="20"/>
    </x:row>
    <x:row r="13">
      <x:c r="A13" s="20" t="str">
        <x:v>ISSUE-010</x:v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49"/>
      <x:c r="M13" s="20"/>
      <x:c r="N13" s="20"/>
    </x:row>
    <x:row r="14">
      <x:c r="A14" s="20" t="str">
        <x:v>ISSUE-011</x:v>
      </x:c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49"/>
      <x:c r="M14" s="20"/>
      <x:c r="N14" s="20"/>
    </x:row>
    <x:row r="15">
      <x:c r="A15" s="20" t="str">
        <x:v>ISSUE-012</x:v>
      </x:c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49"/>
      <x:c r="M15" s="20"/>
      <x:c r="N15" s="20"/>
    </x:row>
    <x:row r="16">
      <x:c r="A16" s="20" t="str">
        <x:v>ISSUE-013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49"/>
      <x:c r="M16" s="20"/>
      <x:c r="N16" s="20"/>
    </x:row>
    <x:row r="17">
      <x:c r="A17" s="20" t="str">
        <x:v>ISSUE-014</x:v>
      </x:c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49"/>
      <x:c r="M17" s="20"/>
      <x:c r="N17" s="20"/>
    </x:row>
    <x:row r="18">
      <x:c r="A18" s="20" t="str">
        <x:v>ISSUE-015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49"/>
      <x:c r="M18" s="20"/>
      <x:c r="N18" s="20"/>
    </x:row>
    <x:row r="19">
      <x:c r="A19" s="20" t="str">
        <x:v>ISSUE-016</x:v>
      </x:c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49"/>
      <x:c r="M19" s="20"/>
      <x:c r="N19" s="20"/>
    </x:row>
    <x:row r="20">
      <x:c r="A20" s="20" t="str">
        <x:v>ISSUE-017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49"/>
      <x:c r="M20" s="20"/>
      <x:c r="N20" s="20"/>
    </x:row>
    <x:row r="21">
      <x:c r="A21" s="20" t="str">
        <x:v>ISSUE-018</x:v>
      </x:c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49"/>
      <x:c r="M21" s="20"/>
      <x:c r="N21" s="20"/>
    </x:row>
    <x:row r="22">
      <x:c r="A22" s="20" t="str">
        <x:v>ISSUE-019</x:v>
      </x:c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49"/>
      <x:c r="M22" s="20"/>
      <x:c r="N22" s="20"/>
    </x:row>
    <x:row r="23">
      <x:c r="A23" s="20" t="str">
        <x:v>ISSUE-020</x:v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49"/>
      <x:c r="M23" s="20"/>
      <x:c r="N23" s="20"/>
    </x:row>
    <x:row r="24">
      <x:c r="A24" s="20" t="str">
        <x:v>ISSUE-021</x:v>
      </x:c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49"/>
      <x:c r="M24" s="20"/>
      <x:c r="N24" s="20"/>
    </x:row>
    <x:row r="25">
      <x:c r="A25" s="20" t="str">
        <x:v>ISSUE-022</x:v>
      </x:c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49"/>
      <x:c r="M25" s="20"/>
      <x:c r="N25" s="20"/>
    </x:row>
    <x:row r="26">
      <x:c r="A26" s="20" t="str">
        <x:v>ISSUE-023</x:v>
      </x:c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49"/>
      <x:c r="M26" s="20"/>
      <x:c r="N26" s="20"/>
    </x:row>
    <x:row r="27">
      <x:c r="A27" s="20" t="str">
        <x:v>ISSUE-024</x:v>
      </x:c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49"/>
      <x:c r="M27" s="20"/>
      <x:c r="N27" s="20"/>
    </x:row>
    <x:row r="28">
      <x:c r="A28" s="20" t="str">
        <x:v>ISSUE-025</x:v>
      </x:c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49"/>
      <x:c r="M28" s="20"/>
      <x:c r="N28" s="20"/>
    </x:row>
    <x:row r="29">
      <x:c r="A29" s="20" t="str">
        <x:v>ISSUE-026</x:v>
      </x:c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49"/>
      <x:c r="M29" s="20"/>
      <x:c r="N29" s="20"/>
    </x:row>
    <x:row r="30">
      <x:c r="A30" s="20" t="str">
        <x:v>ISSUE-027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49"/>
      <x:c r="M30" s="20"/>
      <x:c r="N30" s="20"/>
    </x:row>
    <x:row r="31">
      <x:c r="A31" s="20" t="str">
        <x:v>ISSUE-028</x:v>
      </x:c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49"/>
      <x:c r="M31" s="20"/>
      <x:c r="N31" s="20"/>
    </x:row>
    <x:row r="32">
      <x:c r="A32" s="20" t="str">
        <x:v>ISSUE-029</x:v>
      </x:c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49"/>
      <x:c r="M32" s="20"/>
      <x:c r="N32" s="20"/>
    </x:row>
    <x:row r="33">
      <x:c r="A33" s="20" t="str">
        <x:v>ISSUE-030</x:v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49"/>
      <x:c r="M33" s="20"/>
      <x:c r="N33" s="20"/>
    </x:row>
    <x:row r="34">
      <x:c r="A34" s="20" t="str">
        <x:v>ISSUE-031</x:v>
      </x:c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49"/>
      <x:c r="M34" s="20"/>
      <x:c r="N34" s="20"/>
    </x:row>
    <x:row r="35">
      <x:c r="A35" s="20" t="str">
        <x:v>ISSUE-032</x:v>
      </x:c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49"/>
      <x:c r="M35" s="20"/>
      <x:c r="N35" s="20"/>
    </x:row>
    <x:row r="36">
      <x:c r="A36" s="20" t="str">
        <x:v>ISSUE-033</x:v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49"/>
      <x:c r="M36" s="20"/>
      <x:c r="N36" s="20"/>
    </x:row>
    <x:row r="37">
      <x:c r="A37" s="20" t="str">
        <x:v>ISSUE-034</x:v>
      </x:c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49"/>
      <x:c r="M37" s="20"/>
      <x:c r="N37" s="20"/>
    </x:row>
    <x:row r="38">
      <x:c r="A38" s="20" t="str">
        <x:v>ISSUE-035</x:v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49"/>
      <x:c r="M38" s="20"/>
      <x:c r="N38" s="20"/>
    </x:row>
    <x:row r="39">
      <x:c r="A39" s="20" t="str">
        <x:v>ISSUE-036</x:v>
      </x:c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49"/>
      <x:c r="M39" s="20"/>
      <x:c r="N39" s="20"/>
    </x:row>
    <x:row r="40">
      <x:c r="A40" s="20" t="str">
        <x:v>ISSUE-037</x:v>
      </x:c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49"/>
      <x:c r="M40" s="20"/>
      <x:c r="N40" s="20"/>
    </x:row>
    <x:row r="41">
      <x:c r="A41" s="20" t="str">
        <x:v>ISSUE-038</x:v>
      </x:c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49"/>
      <x:c r="M41" s="20"/>
      <x:c r="N41" s="20"/>
    </x:row>
    <x:row r="42">
      <x:c r="A42" s="20" t="str">
        <x:v>ISSUE-039</x:v>
      </x:c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49"/>
      <x:c r="M42" s="20"/>
      <x:c r="N42" s="20"/>
    </x:row>
    <x:row r="43">
      <x:c r="A43" s="20" t="str">
        <x:v>ISSUE-040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49"/>
      <x:c r="M43" s="20"/>
      <x:c r="N43" s="20"/>
    </x:row>
    <x:row r="44">
      <x:c r="A44" s="20" t="str">
        <x:v>ISSUE-041</x:v>
      </x:c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49"/>
      <x:c r="M44" s="20"/>
      <x:c r="N44" s="20"/>
    </x:row>
    <x:row r="45">
      <x:c r="A45" s="20" t="str">
        <x:v>ISSUE-042</x:v>
      </x:c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49"/>
      <x:c r="M45" s="20"/>
      <x:c r="N45" s="20"/>
    </x:row>
    <x:row r="46">
      <x:c r="A46" s="20" t="str">
        <x:v>ISSUE-043</x:v>
      </x:c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49"/>
      <x:c r="M46" s="20"/>
      <x:c r="N46" s="20"/>
    </x:row>
    <x:row r="47">
      <x:c r="A47" s="20" t="str">
        <x:v>ISSUE-044</x:v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49"/>
      <x:c r="M47" s="20"/>
      <x:c r="N47" s="20"/>
    </x:row>
    <x:row r="48">
      <x:c r="A48" s="20" t="str">
        <x:v>ISSUE-045</x:v>
      </x:c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49"/>
      <x:c r="M48" s="20"/>
      <x:c r="N48" s="20"/>
    </x:row>
    <x:row r="49">
      <x:c r="A49" s="20" t="str">
        <x:v>ISSUE-046</x:v>
      </x:c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49"/>
      <x:c r="M49" s="20"/>
      <x:c r="N49" s="20"/>
    </x:row>
    <x:row r="50">
      <x:c r="A50" s="20" t="str">
        <x:v>ISSUE-047</x:v>
      </x:c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49"/>
      <x:c r="M50" s="20"/>
      <x:c r="N50" s="20"/>
    </x:row>
    <x:row r="51">
      <x:c r="A51" s="20" t="str">
        <x:v>ISSUE-048</x:v>
      </x:c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49"/>
      <x:c r="M51" s="20"/>
      <x:c r="N51" s="20"/>
    </x:row>
    <x:row r="52">
      <x:c r="A52" s="20" t="str">
        <x:v>ISSUE-049</x:v>
      </x:c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49"/>
      <x:c r="M52" s="20"/>
      <x:c r="N52" s="20"/>
    </x:row>
    <x:row r="53">
      <x:c r="A53" s="20" t="str">
        <x:v>ISSUE-050</x:v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49"/>
      <x:c r="M53" s="20"/>
      <x:c r="N53" s="20"/>
    </x:row>
    <x:row r="54">
      <x:c r="A54" s="20" t="str">
        <x:v>ISSUE-051</x:v>
      </x:c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49"/>
      <x:c r="M54" s="20"/>
      <x:c r="N54" s="20"/>
    </x:row>
    <x:row r="55">
      <x:c r="A55" s="20" t="str">
        <x:v>ISSUE-052</x:v>
      </x:c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49"/>
      <x:c r="M55" s="20"/>
      <x:c r="N55" s="20"/>
    </x:row>
    <x:row r="56">
      <x:c r="A56" s="20" t="str">
        <x:v>ISSUE-053</x:v>
      </x:c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49"/>
      <x:c r="M56" s="20"/>
      <x:c r="N56" s="20"/>
    </x:row>
    <x:row r="57">
      <x:c r="A57" s="20" t="str">
        <x:v>ISSUE-054</x:v>
      </x:c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49"/>
      <x:c r="M57" s="20"/>
      <x:c r="N57" s="20"/>
    </x:row>
    <x:row r="58">
      <x:c r="A58" s="20" t="str">
        <x:v>ISSUE-055</x:v>
      </x:c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49"/>
      <x:c r="M58" s="20"/>
      <x:c r="N58" s="20"/>
    </x:row>
    <x:row r="59">
      <x:c r="A59" s="20" t="str">
        <x:v>ISSUE-056</x:v>
      </x:c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49"/>
      <x:c r="M59" s="20"/>
      <x:c r="N59" s="20"/>
    </x:row>
    <x:row r="60">
      <x:c r="A60" s="20" t="str">
        <x:v>ISSUE-057</x:v>
      </x:c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49"/>
      <x:c r="M60" s="20"/>
      <x:c r="N60" s="20"/>
    </x:row>
    <x:row r="61">
      <x:c r="A61" s="20" t="str">
        <x:v>ISSUE-058</x:v>
      </x:c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49"/>
      <x:c r="M61" s="20"/>
      <x:c r="N61" s="20"/>
    </x:row>
    <x:row r="62">
      <x:c r="A62" s="20" t="str">
        <x:v>ISSUE-059</x:v>
      </x:c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49"/>
      <x:c r="M62" s="20"/>
      <x:c r="N62" s="20"/>
    </x:row>
    <x:row r="63">
      <x:c r="A63" s="20" t="str">
        <x:v>ISSUE-060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49"/>
      <x:c r="M63" s="20"/>
      <x:c r="N63" s="20"/>
    </x:row>
    <x:row r="64">
      <x:c r="A64" s="20" t="str">
        <x:v>ISSUE-061</x:v>
      </x:c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49"/>
      <x:c r="M64" s="20"/>
      <x:c r="N64" s="20"/>
    </x:row>
    <x:row r="65">
      <x:c r="A65" s="20" t="str">
        <x:v>ISSUE-062</x:v>
      </x:c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49"/>
      <x:c r="M65" s="20"/>
      <x:c r="N65" s="20"/>
    </x:row>
    <x:row r="66">
      <x:c r="A66" s="20" t="str">
        <x:v>ISSUE-063</x:v>
      </x:c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49"/>
      <x:c r="M66" s="20"/>
      <x:c r="N66" s="20"/>
    </x:row>
    <x:row r="67">
      <x:c r="A67" s="20" t="str">
        <x:v>ISSUE-064</x:v>
      </x:c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49"/>
      <x:c r="M67" s="20"/>
      <x:c r="N67" s="20"/>
    </x:row>
    <x:row r="68">
      <x:c r="A68" s="20" t="str">
        <x:v>ISSUE-065</x:v>
      </x:c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49"/>
      <x:c r="M68" s="20"/>
      <x:c r="N68" s="20"/>
    </x:row>
    <x:row r="69">
      <x:c r="A69" s="20" t="str">
        <x:v>ISSUE-066</x:v>
      </x:c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49"/>
      <x:c r="M69" s="20"/>
      <x:c r="N69" s="20"/>
    </x:row>
    <x:row r="70">
      <x:c r="A70" s="20" t="str">
        <x:v>ISSUE-067</x:v>
      </x:c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49"/>
      <x:c r="M70" s="20"/>
      <x:c r="N70" s="20"/>
    </x:row>
    <x:row r="71">
      <x:c r="A71" s="20" t="str">
        <x:v>ISSUE-068</x:v>
      </x:c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49"/>
      <x:c r="M71" s="20"/>
      <x:c r="N71" s="20"/>
    </x:row>
    <x:row r="72">
      <x:c r="A72" s="20" t="str">
        <x:v>ISSUE-069</x:v>
      </x:c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49"/>
      <x:c r="M72" s="20"/>
      <x:c r="N72" s="20"/>
    </x:row>
    <x:row r="73">
      <x:c r="A73" s="20" t="str">
        <x:v>ISSUE-070</x:v>
      </x:c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49"/>
      <x:c r="M73" s="20"/>
      <x:c r="N73" s="20"/>
    </x:row>
    <x:row r="74">
      <x:c r="A74" s="20" t="str">
        <x:v>ISSUE-071</x:v>
      </x:c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49"/>
      <x:c r="M74" s="20"/>
      <x:c r="N74" s="20"/>
    </x:row>
    <x:row r="75">
      <x:c r="A75" s="20" t="str">
        <x:v>ISSUE-072</x:v>
      </x:c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49"/>
      <x:c r="M75" s="20"/>
      <x:c r="N75" s="20"/>
    </x:row>
    <x:row r="76">
      <x:c r="A76" s="20" t="str">
        <x:v>ISSUE-073</x:v>
      </x:c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49"/>
      <x:c r="M76" s="20"/>
      <x:c r="N76" s="20"/>
    </x:row>
    <x:row r="77">
      <x:c r="A77" s="20" t="str">
        <x:v>ISSUE-074</x:v>
      </x:c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49"/>
      <x:c r="M77" s="20"/>
      <x:c r="N77" s="20"/>
    </x:row>
    <x:row r="78">
      <x:c r="A78" s="20" t="str">
        <x:v>ISSUE-075</x:v>
      </x:c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49"/>
      <x:c r="M78" s="20"/>
      <x:c r="N78" s="20"/>
    </x:row>
    <x:row r="79">
      <x:c r="A79" s="20" t="str">
        <x:v>ISSUE-076</x:v>
      </x:c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49"/>
      <x:c r="M79" s="20"/>
      <x:c r="N79" s="20"/>
    </x:row>
    <x:row r="80">
      <x:c r="A80" s="20" t="str">
        <x:v>ISSUE-077</x:v>
      </x:c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49"/>
      <x:c r="M80" s="20"/>
      <x:c r="N80" s="20"/>
    </x:row>
    <x:row r="81">
      <x:c r="A81" s="20" t="str">
        <x:v>ISSUE-078</x:v>
      </x:c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49"/>
      <x:c r="M81" s="20"/>
      <x:c r="N81" s="20"/>
    </x:row>
    <x:row r="82">
      <x:c r="A82" s="20" t="str">
        <x:v>ISSUE-079</x:v>
      </x:c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49"/>
      <x:c r="M82" s="20"/>
      <x:c r="N82" s="20"/>
    </x:row>
    <x:row r="83">
      <x:c r="A83" s="20" t="str">
        <x:v>ISSUE-080</x:v>
      </x:c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49"/>
      <x:c r="M83" s="20"/>
      <x:c r="N83" s="20"/>
    </x:row>
    <x:row r="84">
      <x:c r="A84" s="20" t="str">
        <x:v>ISSUE-081</x:v>
      </x:c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49"/>
      <x:c r="M84" s="20"/>
      <x:c r="N84" s="20"/>
    </x:row>
    <x:row r="85">
      <x:c r="A85" s="20" t="str">
        <x:v>ISSUE-082</x:v>
      </x:c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49"/>
      <x:c r="M85" s="20"/>
      <x:c r="N85" s="20"/>
    </x:row>
    <x:row r="86">
      <x:c r="A86" s="20" t="str">
        <x:v>ISSUE-083</x:v>
      </x:c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49"/>
      <x:c r="M86" s="20"/>
      <x:c r="N86" s="20"/>
    </x:row>
    <x:row r="87">
      <x:c r="A87" s="20" t="str">
        <x:v>ISSUE-084</x:v>
      </x:c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49"/>
      <x:c r="M87" s="20"/>
      <x:c r="N87" s="20"/>
    </x:row>
    <x:row r="88">
      <x:c r="A88" s="20" t="str">
        <x:v>ISSUE-085</x:v>
      </x:c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49"/>
      <x:c r="M88" s="20"/>
      <x:c r="N88" s="20"/>
    </x:row>
    <x:row r="89">
      <x:c r="A89" s="20" t="str">
        <x:v>ISSUE-086</x:v>
      </x:c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49"/>
      <x:c r="M89" s="20"/>
      <x:c r="N89" s="20"/>
    </x:row>
    <x:row r="90">
      <x:c r="A90" s="20" t="str">
        <x:v>ISSUE-087</x:v>
      </x:c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49"/>
      <x:c r="M90" s="20"/>
      <x:c r="N90" s="20"/>
    </x:row>
    <x:row r="91">
      <x:c r="A91" s="20" t="str">
        <x:v>ISSUE-088</x:v>
      </x:c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49"/>
      <x:c r="M91" s="20"/>
      <x:c r="N91" s="20"/>
    </x:row>
    <x:row r="92">
      <x:c r="A92" s="20" t="str">
        <x:v>ISSUE-089</x:v>
      </x:c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49"/>
      <x:c r="M92" s="20"/>
      <x:c r="N92" s="20"/>
    </x:row>
    <x:row r="93">
      <x:c r="A93" s="20" t="str">
        <x:v>ISSUE-090</x:v>
      </x:c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49"/>
      <x:c r="M93" s="20"/>
      <x:c r="N93" s="20"/>
    </x:row>
    <x:row r="94">
      <x:c r="A94" s="20" t="str">
        <x:v>ISSUE-091</x:v>
      </x:c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49"/>
      <x:c r="M94" s="20"/>
      <x:c r="N94" s="20"/>
    </x:row>
    <x:row r="95">
      <x:c r="A95" s="20" t="str">
        <x:v>ISSUE-092</x:v>
      </x:c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49"/>
      <x:c r="M95" s="20"/>
      <x:c r="N95" s="20"/>
    </x:row>
    <x:row r="96">
      <x:c r="A96" s="20" t="str">
        <x:v>ISSUE-093</x:v>
      </x:c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49"/>
      <x:c r="M96" s="20"/>
      <x:c r="N96" s="20"/>
    </x:row>
    <x:row r="97">
      <x:c r="A97" s="20" t="str">
        <x:v>ISSUE-094</x:v>
      </x:c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49"/>
      <x:c r="M97" s="20"/>
      <x:c r="N97" s="20"/>
    </x:row>
    <x:row r="98">
      <x:c r="A98" s="20" t="str">
        <x:v>ISSUE-095</x:v>
      </x:c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49"/>
      <x:c r="M98" s="20"/>
      <x:c r="N98" s="20"/>
    </x:row>
    <x:row r="99">
      <x:c r="A99" s="20" t="str">
        <x:v>ISSUE-096</x:v>
      </x:c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49"/>
      <x:c r="M99" s="20"/>
      <x:c r="N99" s="20"/>
    </x:row>
    <x:row r="100">
      <x:c r="A100" s="20" t="str">
        <x:v>ISSUE-097</x:v>
      </x:c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49"/>
      <x:c r="M100" s="20"/>
      <x:c r="N100" s="20"/>
    </x:row>
    <x:row r="101">
      <x:c r="A101" s="20" t="str">
        <x:v>ISSUE-098</x:v>
      </x:c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49"/>
      <x:c r="M101" s="20"/>
      <x:c r="N101" s="20"/>
    </x:row>
    <x:row r="102">
      <x:c r="A102" s="20" t="str">
        <x:v>ISSUE-099</x:v>
      </x:c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49"/>
      <x:c r="M102" s="20"/>
      <x:c r="N102" s="20"/>
    </x:row>
    <x:row r="103">
      <x:c r="A103" s="20" t="str">
        <x:v>ISSUE-100</x:v>
      </x:c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49"/>
      <x:c r="M103" s="20"/>
      <x:c r="N103" s="20"/>
    </x:row>
    <x:row r="104">
      <x:c r="A104" s="20" t="str">
        <x:v>ISSUE-101</x:v>
      </x:c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49"/>
      <x:c r="M104" s="20"/>
      <x:c r="N104" s="20"/>
    </x:row>
    <x:row r="105">
      <x:c r="A105" s="20" t="str">
        <x:v>ISSUE-102</x:v>
      </x:c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49"/>
      <x:c r="M105" s="20"/>
      <x:c r="N105" s="20"/>
    </x:row>
    <x:row r="106">
      <x:c r="A106" s="20" t="str">
        <x:v>ISSUE-103</x:v>
      </x:c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49"/>
      <x:c r="M106" s="20"/>
      <x:c r="N106" s="20"/>
    </x:row>
    <x:row r="107">
      <x:c r="A107" s="20" t="str">
        <x:v>ISSUE-104</x:v>
      </x:c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49"/>
      <x:c r="M107" s="20"/>
      <x:c r="N107" s="20"/>
    </x:row>
    <x:row r="108">
      <x:c r="A108" s="20" t="str">
        <x:v>ISSUE-105</x:v>
      </x:c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49"/>
      <x:c r="M108" s="20"/>
      <x:c r="N108" s="20"/>
    </x:row>
    <x:row r="109">
      <x:c r="A109" s="20" t="str">
        <x:v>ISSUE-106</x:v>
      </x:c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49"/>
      <x:c r="M109" s="20"/>
      <x:c r="N109" s="20"/>
    </x:row>
    <x:row r="110">
      <x:c r="A110" s="20" t="str">
        <x:v>ISSUE-107</x:v>
      </x:c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49"/>
      <x:c r="M110" s="20"/>
      <x:c r="N110" s="20"/>
    </x:row>
    <x:row r="111">
      <x:c r="A111" s="20" t="str">
        <x:v>ISSUE-108</x:v>
      </x:c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49"/>
      <x:c r="M111" s="20"/>
      <x:c r="N111" s="20"/>
    </x:row>
    <x:row r="112">
      <x:c r="A112" s="20" t="str">
        <x:v>ISSUE-109</x:v>
      </x:c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49"/>
      <x:c r="M112" s="20"/>
      <x:c r="N112" s="20"/>
    </x:row>
    <x:row r="113">
      <x:c r="A113" s="20" t="str">
        <x:v>ISSUE-110</x:v>
      </x:c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49"/>
      <x:c r="M113" s="20"/>
      <x:c r="N113" s="20"/>
    </x:row>
    <x:row r="114">
      <x:c r="A114" s="20" t="str">
        <x:v>ISSUE-111</x:v>
      </x:c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49"/>
      <x:c r="M114" s="20"/>
      <x:c r="N114" s="20"/>
    </x:row>
    <x:row r="115">
      <x:c r="A115" s="20" t="str">
        <x:v>ISSUE-112</x:v>
      </x:c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49"/>
      <x:c r="M115" s="20"/>
      <x:c r="N115" s="20"/>
    </x:row>
    <x:row r="116">
      <x:c r="A116" s="20" t="str">
        <x:v>ISSUE-113</x:v>
      </x:c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49"/>
      <x:c r="M116" s="20"/>
      <x:c r="N116" s="20"/>
    </x:row>
    <x:row r="117">
      <x:c r="A117" s="20" t="str">
        <x:v>ISSUE-114</x:v>
      </x:c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49"/>
      <x:c r="M117" s="20"/>
      <x:c r="N117" s="20"/>
    </x:row>
    <x:row r="118">
      <x:c r="A118" s="20" t="str">
        <x:v>ISSUE-115</x:v>
      </x:c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49"/>
      <x:c r="M118" s="20"/>
      <x:c r="N118" s="20"/>
    </x:row>
    <x:row r="119">
      <x:c r="A119" s="20" t="str">
        <x:v>ISSUE-116</x:v>
      </x:c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49"/>
      <x:c r="M119" s="20"/>
      <x:c r="N119" s="20"/>
    </x:row>
    <x:row r="120">
      <x:c r="A120" s="20" t="str">
        <x:v>ISSUE-117</x:v>
      </x:c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49"/>
      <x:c r="M120" s="20"/>
      <x:c r="N120" s="20"/>
    </x:row>
    <x:row r="121">
      <x:c r="A121" s="20" t="str">
        <x:v>ISSUE-118</x:v>
      </x:c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49"/>
      <x:c r="M121" s="20"/>
      <x:c r="N121" s="20"/>
    </x:row>
    <x:row r="122">
      <x:c r="A122" s="20" t="str">
        <x:v>ISSUE-119</x:v>
      </x:c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49"/>
      <x:c r="M122" s="20"/>
      <x:c r="N122" s="20"/>
    </x:row>
    <x:row r="123">
      <x:c r="A123" s="20" t="str">
        <x:v>ISSUE-120</x:v>
      </x:c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49"/>
      <x:c r="M123" s="20"/>
      <x:c r="N123" s="20"/>
    </x:row>
    <x:row r="124">
      <x:c r="A124" s="20" t="str">
        <x:v>ISSUE-121</x:v>
      </x:c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49"/>
      <x:c r="M124" s="20"/>
      <x:c r="N124" s="20"/>
    </x:row>
    <x:row r="125">
      <x:c r="A125" s="20" t="str">
        <x:v>ISSUE-122</x:v>
      </x:c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49"/>
      <x:c r="M125" s="20"/>
      <x:c r="N125" s="20"/>
    </x:row>
    <x:row r="126">
      <x:c r="A126" s="20" t="str">
        <x:v>ISSUE-123</x:v>
      </x:c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49"/>
      <x:c r="M126" s="20"/>
      <x:c r="N126" s="20"/>
    </x:row>
    <x:row r="127">
      <x:c r="A127" s="20" t="str">
        <x:v>ISSUE-124</x:v>
      </x:c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49"/>
      <x:c r="M127" s="20"/>
      <x:c r="N127" s="20"/>
    </x:row>
    <x:row r="128">
      <x:c r="A128" s="20" t="str">
        <x:v>ISSUE-125</x:v>
      </x:c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49"/>
      <x:c r="M128" s="20"/>
      <x:c r="N128" s="20"/>
    </x:row>
    <x:row r="129">
      <x:c r="A129" s="20" t="str">
        <x:v>ISSUE-126</x:v>
      </x:c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49"/>
      <x:c r="M129" s="20"/>
      <x:c r="N129" s="20"/>
    </x:row>
    <x:row r="130">
      <x:c r="A130" s="20" t="str">
        <x:v>ISSUE-127</x:v>
      </x:c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49"/>
      <x:c r="M130" s="20"/>
      <x:c r="N130" s="20"/>
    </x:row>
    <x:row r="131">
      <x:c r="A131" s="20" t="str">
        <x:v>ISSUE-128</x:v>
      </x:c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49"/>
      <x:c r="M131" s="20"/>
      <x:c r="N131" s="20"/>
    </x:row>
    <x:row r="132">
      <x:c r="A132" s="20" t="str">
        <x:v>ISSUE-129</x:v>
      </x:c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49"/>
      <x:c r="M132" s="20"/>
      <x:c r="N132" s="20"/>
    </x:row>
    <x:row r="133">
      <x:c r="A133" s="20" t="str">
        <x:v>ISSUE-130</x:v>
      </x:c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49"/>
      <x:c r="M133" s="20"/>
      <x:c r="N133" s="20"/>
    </x:row>
    <x:row r="134">
      <x:c r="A134" s="20" t="str">
        <x:v>ISSUE-131</x:v>
      </x:c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49"/>
      <x:c r="M134" s="20"/>
      <x:c r="N134" s="20"/>
    </x:row>
    <x:row r="135">
      <x:c r="A135" s="20" t="str">
        <x:v>ISSUE-132</x:v>
      </x:c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49"/>
      <x:c r="M135" s="20"/>
      <x:c r="N135" s="20"/>
    </x:row>
    <x:row r="136">
      <x:c r="A136" s="20" t="str">
        <x:v>ISSUE-133</x:v>
      </x:c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49"/>
      <x:c r="M136" s="20"/>
      <x:c r="N136" s="20"/>
    </x:row>
    <x:row r="137">
      <x:c r="A137" s="20" t="str">
        <x:v>ISSUE-134</x:v>
      </x:c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49"/>
      <x:c r="M137" s="20"/>
      <x:c r="N137" s="20"/>
    </x:row>
    <x:row r="138">
      <x:c r="A138" s="20" t="str">
        <x:v>ISSUE-135</x:v>
      </x:c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49"/>
      <x:c r="M138" s="20"/>
      <x:c r="N138" s="20"/>
    </x:row>
    <x:row r="139">
      <x:c r="A139" s="20" t="str">
        <x:v>ISSUE-136</x:v>
      </x:c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49"/>
      <x:c r="M139" s="20"/>
      <x:c r="N139" s="20"/>
    </x:row>
    <x:row r="140">
      <x:c r="A140" s="20" t="str">
        <x:v>ISSUE-137</x:v>
      </x:c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49"/>
      <x:c r="M140" s="20"/>
      <x:c r="N140" s="20"/>
    </x:row>
    <x:row r="141">
      <x:c r="A141" s="20" t="str">
        <x:v>ISSUE-138</x:v>
      </x:c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49"/>
      <x:c r="M141" s="20"/>
      <x:c r="N141" s="20"/>
    </x:row>
    <x:row r="142">
      <x:c r="A142" s="20" t="str">
        <x:v>ISSUE-139</x:v>
      </x:c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49"/>
      <x:c r="M142" s="20"/>
      <x:c r="N142" s="20"/>
    </x:row>
    <x:row r="143">
      <x:c r="A143" s="20" t="str">
        <x:v>ISSUE-140</x:v>
      </x:c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49"/>
      <x:c r="M143" s="20"/>
      <x:c r="N143" s="20"/>
    </x:row>
    <x:row r="144">
      <x:c r="A144" s="20" t="str">
        <x:v>ISSUE-141</x:v>
      </x:c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49"/>
      <x:c r="M144" s="20"/>
      <x:c r="N144" s="20"/>
    </x:row>
    <x:row r="145">
      <x:c r="A145" s="20" t="str">
        <x:v>ISSUE-142</x:v>
      </x:c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49"/>
      <x:c r="M145" s="20"/>
      <x:c r="N145" s="20"/>
    </x:row>
    <x:row r="146">
      <x:c r="A146" s="20" t="str">
        <x:v>ISSUE-143</x:v>
      </x:c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49"/>
      <x:c r="M146" s="20"/>
      <x:c r="N146" s="20"/>
    </x:row>
    <x:row r="147">
      <x:c r="A147" s="20" t="str">
        <x:v>ISSUE-144</x:v>
      </x:c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49"/>
      <x:c r="M147" s="20"/>
      <x:c r="N147" s="20"/>
    </x:row>
    <x:row r="148">
      <x:c r="A148" s="20" t="str">
        <x:v>ISSUE-145</x:v>
      </x:c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49"/>
      <x:c r="M148" s="20"/>
      <x:c r="N148" s="20"/>
    </x:row>
    <x:row r="149">
      <x:c r="A149" s="20" t="str">
        <x:v>ISSUE-146</x:v>
      </x:c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49"/>
      <x:c r="M149" s="20"/>
      <x:c r="N149" s="20"/>
    </x:row>
    <x:row r="150">
      <x:c r="A150" s="20" t="str">
        <x:v>ISSUE-147</x:v>
      </x:c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49"/>
      <x:c r="M150" s="20"/>
      <x:c r="N150" s="20"/>
    </x:row>
    <x:row r="151">
      <x:c r="A151" s="20" t="str">
        <x:v>ISSUE-148</x:v>
      </x:c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49"/>
      <x:c r="M151" s="20"/>
      <x:c r="N151" s="20"/>
    </x:row>
    <x:row r="152">
      <x:c r="A152" s="20" t="str">
        <x:v>ISSUE-149</x:v>
      </x:c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49"/>
      <x:c r="M152" s="20"/>
      <x:c r="N152" s="20"/>
    </x:row>
    <x:row r="153">
      <x:c r="A153" s="20" t="str">
        <x:v>ISSUE-150</x:v>
      </x:c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49"/>
      <x:c r="M153" s="20"/>
      <x:c r="N153" s="20"/>
    </x:row>
  </x:sheetData>
  <x:mergeCells>
    <x:mergeCell ref="A1:N1"/>
  </x:mergeCells>
  <x:conditionalFormatting sqref="E4:E153">
    <x:cfRule type="containsText" dxfId="25" priority="1" operator="containsText" text="P0"/>
    <x:cfRule type="containsText" dxfId="26" priority="2" operator="containsText" text="P1"/>
  </x:conditionalFormatting>
  <x:conditionalFormatting sqref="J4:J153">
    <x:cfRule type="containsText" dxfId="27" priority="3" operator="containsText" text="复测通过"/>
  </x:conditionalFormatting>
  <x:dataValidations count="3">
    <x:dataValidation type="list" sqref="D4:D153">
      <x:formula1>"PARSER,VISION_OCR,PROMPT_LLM,RULE_CLEAN,GOLD_ERROR,BUSINESS_UNCLEAR,API_SYSTEM"</x:formula1>
    </x:dataValidation>
    <x:dataValidation type="list" sqref="E4:E153">
      <x:formula1>"P0,P1,P2,P3"</x:formula1>
    </x:dataValidation>
    <x:dataValidation type="list" sqref="J4:J153">
      <x:formula1>"待处理,分析中,待业务确认,已修复,复测通过,已关闭,暂不处理"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1cdfd435448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7" hidden="0" customWidth="1"/>
    <x:col min="3" max="3" width="48" hidden="0" customWidth="1"/>
    <x:col min="4" max="4" width="48" hidden="0" customWidth="1"/>
    <x:col min="5" max="5" width="13" hidden="0" customWidth="1"/>
    <x:col min="6" max="6" width="15" hidden="0" customWidth="1"/>
    <x:col min="7" max="7" width="13" hidden="0" customWidth="1"/>
  </x:cols>
  <x:sheetData>
    <x:row r="1" ht="32" customHeight="1">
      <x:c r="A1" s="4" t="str">
        <x:v>业务口径与关键字段确认</x:v>
      </x:c>
      <x:c r="B1" s="4" t="str">
        <x:v>业务口径与关键字段确认</x:v>
      </x:c>
      <x:c r="C1" s="4" t="str">
        <x:v>业务口径与关键字段确认</x:v>
      </x:c>
      <x:c r="D1" s="4" t="str">
        <x:v>业务口径与关键字段确认</x:v>
      </x:c>
      <x:c r="E1" s="4" t="str">
        <x:v>业务口径与关键字段确认</x:v>
      </x:c>
      <x:c r="F1" s="4" t="str">
        <x:v>业务口径与关键字段确认</x:v>
      </x:c>
      <x:c r="G1" s="4" t="str">
        <x:v>业务口径与关键字段确认</x:v>
      </x:c>
    </x:row>
    <x:row r="3" ht="30" customHeight="1">
      <x:c r="A3" s="13" t="str">
        <x:v>确认项</x:v>
      </x:c>
      <x:c r="B3" s="13" t="str">
        <x:v>候选字段/规则</x:v>
      </x:c>
      <x:c r="C3" s="13" t="str">
        <x:v>当前理解</x:v>
      </x:c>
      <x:c r="D3" s="13" t="str">
        <x:v>宜运确认口径</x:v>
      </x:c>
      <x:c r="E3" s="13" t="str">
        <x:v>是否关键</x:v>
      </x:c>
      <x:c r="F3" s="13" t="str">
        <x:v>确认人</x:v>
      </x:c>
      <x:c r="G3" s="13" t="str">
        <x:v>状态</x:v>
      </x:c>
    </x:row>
    <x:row r="4">
      <x:c r="A4" s="19" t="str">
        <x:v>港口与地点</x:v>
      </x:c>
      <x:c r="B4" s="19" t="str">
        <x:v>POR/POL/POD/Delivery</x:v>
      </x:c>
      <x:c r="C4" s="19" t="str">
        <x:v>代码与名称分别落位，不从名称推导代码</x:v>
      </x:c>
      <x:c r="D4" s="19" t="str"/>
      <x:c r="E4" s="19" t="str">
        <x:v>是</x:v>
      </x:c>
      <x:c r="F4" s="19" t="str"/>
      <x:c r="G4" s="19" t="str">
        <x:v>待确认</x:v>
      </x:c>
    </x:row>
    <x:row r="5">
      <x:c r="A5" s="20" t="str">
        <x:v>箱货明细</x:v>
      </x:c>
      <x:c r="B5" s="20" t="str">
        <x:v>ContainerInfo</x:v>
      </x:c>
      <x:c r="C5" s="20" t="str">
        <x:v>无明确箱明细时返回空数组；单一箱型例外需客户确认</x:v>
      </x:c>
      <x:c r="D5" s="20" t="str"/>
      <x:c r="E5" s="20" t="str">
        <x:v>是</x:v>
      </x:c>
      <x:c r="F5" s="20" t="str"/>
      <x:c r="G5" s="20" t="str">
        <x:v>待确认</x:v>
      </x:c>
    </x:row>
    <x:row r="6">
      <x:c r="A6" s="20" t="str">
        <x:v>件重体</x:v>
      </x:c>
      <x:c r="B6" s="20" t="str">
        <x:v>Packages/GrossWeight/Volume</x:v>
      </x:c>
      <x:c r="C6" s="20" t="str">
        <x:v>数值与单位分别输出并按约定标准化</x:v>
      </x:c>
      <x:c r="D6" s="20" t="str"/>
      <x:c r="E6" s="20" t="str">
        <x:v>是</x:v>
      </x:c>
      <x:c r="F6" s="20" t="str"/>
      <x:c r="G6" s="20" t="str">
        <x:v>待确认</x:v>
      </x:c>
    </x:row>
    <x:row r="7">
      <x:c r="A7" s="20" t="str">
        <x:v>运费条款</x:v>
      </x:c>
      <x:c r="B7" s="20" t="str">
        <x:v>FreightTerm</x:v>
      </x:c>
      <x:c r="C7" s="20" t="str">
        <x:v>仅按原文明确内容提取</x:v>
      </x:c>
      <x:c r="D7" s="20" t="str"/>
      <x:c r="E7" s="20" t="str">
        <x:v>是</x:v>
      </x:c>
      <x:c r="F7" s="20" t="str"/>
      <x:c r="G7" s="20" t="str">
        <x:v>待确认</x:v>
      </x:c>
    </x:row>
    <x:row r="8">
      <x:c r="A8" s="20" t="str">
        <x:v>放单类型</x:v>
      </x:c>
      <x:c r="B8" s="20" t="str">
        <x:v>ReleaseBLType</x:v>
      </x:c>
      <x:c r="C8" s="20" t="str">
        <x:v>仅按原文明确内容提取</x:v>
      </x:c>
      <x:c r="D8" s="20" t="str"/>
      <x:c r="E8" s="20" t="str">
        <x:v>是</x:v>
      </x:c>
      <x:c r="F8" s="20" t="str"/>
      <x:c r="G8" s="20" t="str">
        <x:v>待确认</x:v>
      </x:c>
    </x:row>
    <x:row r="9">
      <x:c r="A9" s="20" t="str">
        <x:v>业务等价</x:v>
      </x:c>
      <x:c r="B9" s="20" t="str">
        <x:v>大小写/标点/换行</x:v>
      </x:c>
      <x:c r="C9" s="20" t="str">
        <x:v>精确对比有差异时由业务判断是否等价</x:v>
      </x:c>
      <x:c r="D9" s="20" t="str"/>
      <x:c r="E9" s="20" t="str">
        <x:v>否</x:v>
      </x:c>
      <x:c r="F9" s="20" t="str"/>
      <x:c r="G9" s="20" t="str">
        <x:v>待确认</x:v>
      </x:c>
    </x:row>
    <x:row r="10">
      <x:c r="A10" s="20" t="str">
        <x:v>空结果</x:v>
      </x:c>
      <x:c r="B10" s="20" t="str">
        <x:v>仅GoodsType=S</x:v>
      </x:c>
      <x:c r="C10" s="20" t="str">
        <x:v>按模型空提取结果处理，不计正常成功</x:v>
      </x:c>
      <x:c r="D10" s="20" t="str"/>
      <x:c r="E10" s="20" t="str">
        <x:v>是</x:v>
      </x:c>
      <x:c r="F10" s="20" t="str"/>
      <x:c r="G10" s="20" t="str">
        <x:v>待确认</x:v>
      </x:c>
    </x:row>
    <x:row r="11">
      <x:c r="A11" s="20" t="str">
        <x:v>关键字段清单</x:v>
      </x:c>
      <x:c r="B11" s="20" t="str">
        <x:v>BookingNo、港口地点、船期航次、箱货、件重体、品名、HSCode等</x:v>
      </x:c>
      <x:c r="C11" s="20" t="str">
        <x:v>9月9日联合确认最终范围</x:v>
      </x:c>
      <x:c r="D11" s="20" t="str"/>
      <x:c r="E11" s="20" t="str">
        <x:v>是</x:v>
      </x:c>
      <x:c r="F11" s="20" t="str"/>
      <x:c r="G11" s="20" t="str">
        <x:v>待确认</x:v>
      </x:c>
    </x:row>
    <x:row r="12">
      <x:c r="A12" s="20" t="str">
        <x:v>验收门槛</x:v>
      </x:c>
      <x:c r="B12" s="20" t="str">
        <x:v>准确率/成功率/时效</x:v>
      </x:c>
      <x:c r="C12" s="20" t="str">
        <x:v>首轮只建立基线，随后书面确认门槛</x:v>
      </x:c>
      <x:c r="D12" s="20" t="str"/>
      <x:c r="E12" s="20" t="str"/>
      <x:c r="F12" s="20" t="str"/>
      <x:c r="G12" s="20" t="str">
        <x:v>待确认</x:v>
      </x:c>
    </x:row>
  </x:sheetData>
  <x:mergeCells>
    <x:mergeCell ref="A1:G1"/>
  </x:mergeCells>
  <x:conditionalFormatting sqref="G4:G12">
    <x:cfRule type="containsText" dxfId="28" priority="1" operator="containsText" text="已确认"/>
    <x:cfRule type="containsText" dxfId="29" priority="2" operator="containsText" text="有争议"/>
  </x:conditionalFormatting>
  <x:dataValidations count="2">
    <x:dataValidation type="list" sqref="E4:E12">
      <x:formula1>"是,否,待定"</x:formula1>
    </x:dataValidation>
    <x:dataValidation type="list" sqref="G4:G12">
      <x:formula1>"待确认,已确认,有争议"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4" hidden="0" customWidth="1"/>
    <x:col min="4" max="4" width="3" hidden="0" customWidth="1"/>
    <x:col min="5" max="5" width="3" hidden="0" customWidth="1"/>
    <x:col min="6" max="6" width="3" hidden="0" customWidth="1"/>
  </x:cols>
  <x:sheetData>
    <x:row r="1" ht="32" customHeight="1">
      <x:c r="A1" s="4" t="str">
        <x:v>测试基线统计看板</x:v>
      </x:c>
      <x:c r="B1" s="4" t="str">
        <x:v>测试基线统计看板</x:v>
      </x:c>
      <x:c r="C1" s="4" t="str">
        <x:v>测试基线统计看板</x:v>
      </x:c>
      <x:c r="D1" s="4" t="str">
        <x:v>测试基线统计看板</x:v>
      </x:c>
      <x:c r="E1" s="4" t="str">
        <x:v>测试基线统计看板</x:v>
      </x:c>
      <x:c r="F1" s="4" t="str">
        <x:v>测试基线统计看板</x:v>
      </x:c>
    </x:row>
    <x:row r="3" ht="30" customHeight="1">
      <x:c r="A3" s="13" t="str">
        <x:v>指标</x:v>
      </x:c>
      <x:c r="B3" s="13" t="str">
        <x:v>当前值</x:v>
      </x:c>
      <x:c r="C3" s="13" t="str">
        <x:v>说明</x:v>
      </x:c>
    </x:row>
    <x:row r="4">
      <x:c r="A4" s="19" t="str">
        <x:v>已登记案例数</x:v>
      </x:c>
      <x:c r="B4" s="19" t="n">
        <x:f>COUNTIF('案例台账'!B4:B53,"&lt;&gt;")</x:f>
        <x:v>0</x:v>
      </x:c>
      <x:c r="C4" s="19" t="str">
        <x:v>文件名已填写的案例</x:v>
      </x:c>
    </x:row>
    <x:row r="5">
      <x:c r="A5" s="20" t="str">
        <x:v>已执行任务数</x:v>
      </x:c>
      <x:c r="B5" s="20" t="n">
        <x:f>COUNTIF('执行日志'!F4:F303,"&lt;&gt;")</x:f>
        <x:v>0</x:v>
      </x:c>
      <x:c r="C5" s="20" t="str">
        <x:v>取得Task ID的请求</x:v>
      </x:c>
    </x:row>
    <x:row r="6">
      <x:c r="A6" s="20" t="str">
        <x:v>成功任务数</x:v>
      </x:c>
      <x:c r="B6" s="20" t="n">
        <x:f>COUNTIF('执行日志'!I4:I303,"SUCCESS")</x:f>
        <x:v>0</x:v>
      </x:c>
      <x:c r="C6" s="20" t="str">
        <x:v>最终状态SUCCESS</x:v>
      </x:c>
    </x:row>
    <x:row r="7">
      <x:c r="A7" s="20" t="str">
        <x:v>失败任务数</x:v>
      </x:c>
      <x:c r="B7" s="20" t="n">
        <x:f>COUNTIF('执行日志'!I4:I303,"FAILED")</x:f>
        <x:v>0</x:v>
      </x:c>
      <x:c r="C7" s="20" t="str">
        <x:v>最终状态FAILED</x:v>
      </x:c>
    </x:row>
    <x:row r="8">
      <x:c r="A8" s="20" t="str">
        <x:v>技术完成率</x:v>
      </x:c>
      <x:c r="B8" s="61" t="str">
        <x:f>IFERROR(B6/(B6+B7),"")</x:f>
      </x:c>
      <x:c r="C8" s="20" t="str">
        <x:v>成功任务÷成功与失败任务</x:v>
      </x:c>
    </x:row>
    <x:row r="9">
      <x:c r="A9" s="20" t="str">
        <x:v>空结果数</x:v>
      </x:c>
      <x:c r="B9" s="20" t="n">
        <x:f>COUNTIF('执行日志'!O4:O303,"*模型返回空提取结果*")</x:f>
        <x:v>0</x:v>
      </x:c>
      <x:c r="C9" s="20" t="str">
        <x:v>仅默认GoodsType=S等空结果</x:v>
      </x:c>
    </x:row>
    <x:row r="10">
      <x:c r="A10" s="20" t="str">
        <x:v>空结果率</x:v>
      </x:c>
      <x:c r="B10" s="61" t="str">
        <x:f>IFERROR(B9/B5,"")</x:f>
      </x:c>
      <x:c r="C10" s="20" t="str">
        <x:v>空结果÷已执行任务</x:v>
      </x:c>
    </x:row>
    <x:row r="11">
      <x:c r="A11" s="20" t="str">
        <x:v>精确一致字段</x:v>
      </x:c>
      <x:c r="B11" s="20" t="n">
        <x:f>COUNTIF('字段差异'!F4:F503,"一致")</x:f>
        <x:v>0</x:v>
      </x:c>
      <x:c r="C11" s="20" t="str">
        <x:v>字符串精确一致</x:v>
      </x:c>
    </x:row>
    <x:row r="12">
      <x:c r="A12" s="20" t="str">
        <x:v>精确差异字段</x:v>
      </x:c>
      <x:c r="B12" s="20" t="n">
        <x:f>COUNTIF('字段差异'!F4:F503,"差异")</x:f>
        <x:v>0</x:v>
      </x:c>
      <x:c r="C12" s="20" t="str">
        <x:v>需要业务复核</x:v>
      </x:c>
    </x:row>
    <x:row r="13">
      <x:c r="A13" s="20" t="str">
        <x:v>精确字段准确率</x:v>
      </x:c>
      <x:c r="B13" s="61" t="str">
        <x:f>IFERROR(B11/(B11+B12),"")</x:f>
      </x:c>
      <x:c r="C13" s="20" t="str">
        <x:v>精确一致÷已比较字段</x:v>
      </x:c>
    </x:row>
    <x:row r="14">
      <x:c r="A14" s="20" t="str">
        <x:v>业务一致字段</x:v>
      </x:c>
      <x:c r="B14" s="20" t="n">
        <x:f>COUNTIF('字段差异'!G4:G503,"业务一致")</x:f>
        <x:v>0</x:v>
      </x:c>
      <x:c r="C14" s="20" t="str">
        <x:v>人工判定业务等价</x:v>
      </x:c>
    </x:row>
    <x:row r="15">
      <x:c r="A15" s="20" t="str">
        <x:v>业务错误字段</x:v>
      </x:c>
      <x:c r="B15" s="20" t="n">
        <x:f>COUNTIF('字段差异'!G4:G503,"业务错误")</x:f>
        <x:v>0</x:v>
      </x:c>
      <x:c r="C15" s="20" t="str">
        <x:v>人工确认错误</x:v>
      </x:c>
    </x:row>
    <x:row r="16">
      <x:c r="A16" s="20" t="str">
        <x:v>业务字段准确率</x:v>
      </x:c>
      <x:c r="B16" s="61" t="str">
        <x:f>IFERROR(B14/(B14+B15),"")</x:f>
      </x:c>
      <x:c r="C16" s="20" t="str">
        <x:v>业务一致÷已人工判断字段</x:v>
      </x:c>
    </x:row>
    <x:row r="17">
      <x:c r="A17" s="20" t="str">
        <x:v>确认P0/P1问题</x:v>
      </x:c>
      <x:c r="B17" s="20" t="n">
        <x:f>COUNTIFS('字段差异'!L4:L503,"已确认",'字段差异'!I4:I503,"P0")+COUNTIFS('字段差异'!L4:L503,"已确认",'字段差异'!I4:I503,"P1")</x:f>
        <x:v>0</x:v>
      </x:c>
      <x:c r="C17" s="20" t="str">
        <x:v>正式验收阻塞项</x:v>
      </x:c>
    </x:row>
    <x:row r="18">
      <x:c r="A18" s="20" t="str">
        <x:v>幻觉字段数</x:v>
      </x:c>
      <x:c r="B18" s="20" t="n">
        <x:f>COUNTIF('字段差异'!N4:N503,"幻觉")</x:f>
        <x:v>0</x:v>
      </x:c>
      <x:c r="C18" s="20" t="str">
        <x:v>无原文依据的错误填充</x:v>
      </x:c>
    </x:row>
    <x:row r="19">
      <x:c r="A19" s="20" t="str">
        <x:v>Standard平均耗时ms</x:v>
      </x:c>
      <x:c r="B19" s="20" t="str">
        <x:f>IFERROR(AVERAGE('执行日志'!R4:R303),"")</x:f>
      </x:c>
      <x:c r="C19" s="20" t="str">
        <x:v>仅standard任务</x:v>
      </x:c>
    </x:row>
    <x:row r="20">
      <x:c r="A20" s="20" t="str">
        <x:v>Standard P50耗时ms</x:v>
      </x:c>
      <x:c r="B20" s="20" t="str">
        <x:f>IFERROR(MEDIAN('执行日志'!R4:R303),"")</x:f>
      </x:c>
      <x:c r="C20" s="20" t="str">
        <x:v>仅standard任务</x:v>
      </x:c>
    </x:row>
    <x:row r="21">
      <x:c r="A21" s="20" t="str">
        <x:v>Standard P95耗时ms</x:v>
      </x:c>
      <x:c r="B21" s="20" t="str">
        <x:f>IFERROR(PERCENTILE.INC('执行日志'!R4:R303,0.95),"")</x:f>
      </x:c>
      <x:c r="C21" s="20" t="str">
        <x:v>仅standard任务</x:v>
      </x:c>
    </x:row>
    <x:row r="22">
      <x:c r="A22" s="20" t="str">
        <x:v>High平均耗时ms</x:v>
      </x:c>
      <x:c r="B22" s="20" t="str">
        <x:f>IFERROR(AVERAGE('执行日志'!S4:S303),"")</x:f>
      </x:c>
      <x:c r="C22" s="20" t="str">
        <x:v>仅high_accuracy任务</x:v>
      </x:c>
    </x:row>
    <x:row r="23">
      <x:c r="A23" s="20" t="str">
        <x:v>High P50耗时ms</x:v>
      </x:c>
      <x:c r="B23" s="20" t="str">
        <x:f>IFERROR(MEDIAN('执行日志'!S4:S303),"")</x:f>
      </x:c>
      <x:c r="C23" s="20" t="str">
        <x:v>仅high_accuracy任务</x:v>
      </x:c>
    </x:row>
    <x:row r="24">
      <x:c r="A24" s="20" t="str">
        <x:v>High P95耗时ms</x:v>
      </x:c>
      <x:c r="B24" s="20" t="str">
        <x:f>IFERROR(PERCENTILE.INC('执行日志'!S4:S303,0.95),"")</x:f>
      </x:c>
      <x:c r="C24" s="20" t="str">
        <x:v>仅high_accuracy任务</x:v>
      </x:c>
    </x:row>
    <x:row r="25">
      <x:c r="A25" s="20" t="str">
        <x:v>平均准确率提升</x:v>
      </x:c>
      <x:c r="B25" s="61" t="str">
        <x:f>IFERROR(AVERAGE('高精度AB'!G4:G15),"")</x:f>
      </x:c>
      <x:c r="C25" s="20" t="str">
        <x:v>配对案例High减Standard</x:v>
      </x:c>
    </x:row>
    <x:row r="26">
      <x:c r="A26" s="20" t="str">
        <x:v>平均额外耗时ms</x:v>
      </x:c>
      <x:c r="B26" s="20" t="str">
        <x:f>IFERROR(AVERAGE('高精度AB'!J4:J15),"")</x:f>
      </x:c>
      <x:c r="C26" s="20" t="str">
        <x:v>配对案例High减Standard</x:v>
      </x:c>
    </x:row>
    <x:row r="29">
      <x:c r="A29" s="23" t="str">
        <x:v>本轮先建立真实基线，不预设正式验收阈值。9月9日确认关键字段，9月11日基于结果提出下一轮书面门槛。</x:v>
      </x:c>
      <x:c r="B29" s="23"/>
      <x:c r="C29" s="23"/>
      <x:c r="D29" s="23"/>
      <x:c r="E29" s="23"/>
      <x:c r="F29" s="23"/>
    </x:row>
  </x:sheetData>
  <x:mergeCells>
    <x:mergeCell ref="A1:F1"/>
    <x:mergeCell ref="A29:F29"/>
  </x:mergeCells>
  <x:pageMargins left="0.7" right="0.7" top="0.75" bottom="0.75" header="0.3" footer="0.3"/>
</x:worksheet>
</file>